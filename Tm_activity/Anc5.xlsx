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<sst xmlns="http://schemas.openxmlformats.org/spreadsheetml/2006/main" count="77" uniqueCount="60">
  <si>
    <t xml:space="preserve">name</t>
  </si>
  <si>
    <t xml:space="preserve">loop length</t>
  </si>
  <si>
    <t xml:space="preserve">loop seq</t>
  </si>
  <si>
    <t xml:space="preserve">chitinase (lysate)</t>
  </si>
  <si>
    <t xml:space="preserve">Chitinase(%)</t>
  </si>
  <si>
    <t xml:space="preserve">Tm</t>
  </si>
  <si>
    <t xml:space="preserve">del Tm</t>
  </si>
  <si>
    <t xml:space="preserve">Anc5</t>
  </si>
  <si>
    <t xml:space="preserve">GGWPTAPDGPYAW</t>
  </si>
  <si>
    <t xml:space="preserve">Anc5_LII_0000000000000</t>
  </si>
  <si>
    <t xml:space="preserve">Anc5_LII_0000000000001</t>
  </si>
  <si>
    <t xml:space="preserve">W</t>
  </si>
  <si>
    <t xml:space="preserve">Anc5_LII_0000000000011</t>
  </si>
  <si>
    <t xml:space="preserve">AW</t>
  </si>
  <si>
    <t xml:space="preserve">-</t>
  </si>
  <si>
    <t xml:space="preserve">Anc5_LII_0000000000111</t>
  </si>
  <si>
    <t xml:space="preserve">YAW</t>
  </si>
  <si>
    <t xml:space="preserve">n.d.</t>
  </si>
  <si>
    <t xml:space="preserve">Anc5_LII_0000000001111</t>
  </si>
  <si>
    <t xml:space="preserve">PYAW</t>
  </si>
  <si>
    <t xml:space="preserve">Anc5_LII_0000000011111</t>
  </si>
  <si>
    <t xml:space="preserve">GPYAW</t>
  </si>
  <si>
    <t xml:space="preserve">Anc5_LII_0000000111111</t>
  </si>
  <si>
    <t xml:space="preserve">DGPYAW</t>
  </si>
  <si>
    <t xml:space="preserve">Anc5_LII_0000001111111</t>
  </si>
  <si>
    <t xml:space="preserve">PDGPYAW</t>
  </si>
  <si>
    <t xml:space="preserve">Anc5_LII_0000011111111</t>
  </si>
  <si>
    <t xml:space="preserve">APDGPYAW</t>
  </si>
  <si>
    <t xml:space="preserve">Anc5_LII_0000111111111</t>
  </si>
  <si>
    <t xml:space="preserve">TAPDGPYAW</t>
  </si>
  <si>
    <t xml:space="preserve">Anc5_LII_0001111111111</t>
  </si>
  <si>
    <t xml:space="preserve">PTAPDGPYAW</t>
  </si>
  <si>
    <t xml:space="preserve">Anc5_LII_0011111111111</t>
  </si>
  <si>
    <t xml:space="preserve">WPTAPDGPYAW</t>
  </si>
  <si>
    <t xml:space="preserve">Anc5_LII_0111111111111</t>
  </si>
  <si>
    <t xml:space="preserve">GWPTAPDGPYAW</t>
  </si>
  <si>
    <t xml:space="preserve">Anc5_LII_1000000000000</t>
  </si>
  <si>
    <t xml:space="preserve">G</t>
  </si>
  <si>
    <t xml:space="preserve">Anc5_LII_1100000000000</t>
  </si>
  <si>
    <t xml:space="preserve">GG</t>
  </si>
  <si>
    <t xml:space="preserve">Anc5_LII_1110000000000</t>
  </si>
  <si>
    <t xml:space="preserve">GGW</t>
  </si>
  <si>
    <t xml:space="preserve">Anc5_LII_1111000000000</t>
  </si>
  <si>
    <t xml:space="preserve">GGWP</t>
  </si>
  <si>
    <t xml:space="preserve">Anc5_LII_1111100000000</t>
  </si>
  <si>
    <t xml:space="preserve">GGWPT</t>
  </si>
  <si>
    <t xml:space="preserve">Anc5_LII_1111110000000</t>
  </si>
  <si>
    <t xml:space="preserve">GGWPTA</t>
  </si>
  <si>
    <t xml:space="preserve">Anc5_LII_1111111000000</t>
  </si>
  <si>
    <t xml:space="preserve">GGWPTAP</t>
  </si>
  <si>
    <t xml:space="preserve">Anc5_LII_1111111100000</t>
  </si>
  <si>
    <t xml:space="preserve">GGWPTAPD</t>
  </si>
  <si>
    <t xml:space="preserve">Anc5_LII_1111111110000</t>
  </si>
  <si>
    <t xml:space="preserve">GGWPTAPDG</t>
  </si>
  <si>
    <t xml:space="preserve">Anc5_LII_1111111111000</t>
  </si>
  <si>
    <t xml:space="preserve">GGWPTAPDGP</t>
  </si>
  <si>
    <t xml:space="preserve">Anc5_LII_1111111111100</t>
  </si>
  <si>
    <t xml:space="preserve">GGWPTAPDGPY</t>
  </si>
  <si>
    <t xml:space="preserve">Anc5_LII_1111111111110</t>
  </si>
  <si>
    <t xml:space="preserve">GGWPTAPDGPYA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</si>
</sst>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0"/>
      <charset val="1"/>
    </font>
    <font>
      <sz val="12"/>
      <color theme="1"/>
      <name val="Aptos Narrow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22.24"/>
    <col collapsed="false" customWidth="true" hidden="false" outlineLevel="0" max="3" min="3" style="0" width="16.66"/>
    <col collapsed="false" customWidth="true" hidden="false" outlineLevel="0" max="4" min="4" style="0" width="21.22"/>
    <col collapsed="false" customWidth="true" hidden="false" outlineLevel="0" max="5" min="5" style="0" width="16.94"/>
    <col collapsed="false" customWidth="true" hidden="false" outlineLevel="0" max="6" min="6" style="0" width="4.77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.75" hidden="false" customHeight="false" outlineLevel="0" collapsed="false">
      <c r="A2" s="3" t="s">
        <v>7</v>
      </c>
      <c r="B2" s="4" t="n">
        <v>13</v>
      </c>
      <c r="C2" s="2" t="s">
        <v>8</v>
      </c>
      <c r="D2" s="2" t="n">
        <v>0.85</v>
      </c>
      <c r="E2" s="2" t="n">
        <f aca="false">D2*100/$D$2</f>
        <v>100</v>
      </c>
      <c r="F2" s="2" t="n">
        <v>66</v>
      </c>
      <c r="G2" s="2" t="n">
        <f aca="false">F2-$F$2</f>
        <v>0</v>
      </c>
    </row>
    <row r="3" customFormat="false" ht="15.75" hidden="false" customHeight="false" outlineLevel="0" collapsed="false">
      <c r="A3" s="5" t="s">
        <v>9</v>
      </c>
      <c r="B3" s="6" t="n">
        <v>0</v>
      </c>
      <c r="C3" s="2"/>
      <c r="D3" s="2" t="n">
        <v>1.04</v>
      </c>
      <c r="E3" s="2" t="n">
        <f aca="false">D3*100/$D$2</f>
        <v>122.352941176471</v>
      </c>
      <c r="F3" s="2" t="n">
        <v>62</v>
      </c>
      <c r="G3" s="2" t="n">
        <f aca="false">F3-$F$2</f>
        <v>-4</v>
      </c>
    </row>
    <row r="4" customFormat="false" ht="15.75" hidden="false" customHeight="false" outlineLevel="0" collapsed="false">
      <c r="A4" s="5" t="s">
        <v>10</v>
      </c>
      <c r="B4" s="6" t="n">
        <v>1</v>
      </c>
      <c r="C4" s="2" t="s">
        <v>11</v>
      </c>
      <c r="D4" s="2" t="n">
        <v>0.61</v>
      </c>
      <c r="E4" s="2" t="n">
        <f aca="false">D4*100/$D$2</f>
        <v>71.7647058823529</v>
      </c>
      <c r="F4" s="2" t="n">
        <v>62.6</v>
      </c>
      <c r="G4" s="2" t="n">
        <f aca="false">F4-$F$2</f>
        <v>-3.4</v>
      </c>
    </row>
    <row r="5" customFormat="false" ht="15.75" hidden="false" customHeight="false" outlineLevel="0" collapsed="false">
      <c r="A5" s="5" t="s">
        <v>12</v>
      </c>
      <c r="B5" s="6" t="n">
        <v>2</v>
      </c>
      <c r="C5" s="2" t="s">
        <v>13</v>
      </c>
      <c r="D5" s="2"/>
      <c r="E5" s="2" t="s">
        <v>14</v>
      </c>
      <c r="F5" s="2" t="n">
        <v>60.8</v>
      </c>
      <c r="G5" s="2" t="n">
        <f aca="false">F5-$F$2</f>
        <v>-5.2</v>
      </c>
    </row>
    <row r="6" customFormat="false" ht="15.75" hidden="false" customHeight="false" outlineLevel="0" collapsed="false">
      <c r="A6" s="5" t="s">
        <v>15</v>
      </c>
      <c r="B6" s="6" t="n">
        <v>3</v>
      </c>
      <c r="C6" s="2" t="s">
        <v>16</v>
      </c>
      <c r="D6" s="2" t="s">
        <v>17</v>
      </c>
      <c r="E6" s="2" t="s">
        <v>14</v>
      </c>
      <c r="F6" s="2" t="n">
        <v>61.2</v>
      </c>
      <c r="G6" s="2" t="n">
        <f aca="false">F6-$F$2</f>
        <v>-4.8</v>
      </c>
    </row>
    <row r="7" customFormat="false" ht="15.75" hidden="false" customHeight="false" outlineLevel="0" collapsed="false">
      <c r="A7" s="5" t="s">
        <v>18</v>
      </c>
      <c r="B7" s="6" t="n">
        <v>4</v>
      </c>
      <c r="C7" s="2" t="s">
        <v>19</v>
      </c>
      <c r="D7" s="2" t="s">
        <v>17</v>
      </c>
      <c r="E7" s="2" t="s">
        <v>14</v>
      </c>
      <c r="F7" s="2" t="n">
        <v>61.2</v>
      </c>
      <c r="G7" s="2" t="n">
        <f aca="false">F7-$F$2</f>
        <v>-4.8</v>
      </c>
    </row>
    <row r="8" customFormat="false" ht="15.75" hidden="false" customHeight="false" outlineLevel="0" collapsed="false">
      <c r="A8" s="5" t="s">
        <v>20</v>
      </c>
      <c r="B8" s="6" t="n">
        <v>5</v>
      </c>
      <c r="C8" s="2" t="s">
        <v>21</v>
      </c>
      <c r="D8" s="2" t="s">
        <v>17</v>
      </c>
      <c r="E8" s="2" t="s">
        <v>14</v>
      </c>
      <c r="F8" s="2" t="n">
        <v>69.6</v>
      </c>
      <c r="G8" s="2" t="n">
        <f aca="false">F8-$F$2</f>
        <v>3.59999999999999</v>
      </c>
    </row>
    <row r="9" customFormat="false" ht="15.75" hidden="false" customHeight="false" outlineLevel="0" collapsed="false">
      <c r="A9" s="5" t="s">
        <v>22</v>
      </c>
      <c r="B9" s="6" t="n">
        <v>6</v>
      </c>
      <c r="C9" s="2" t="s">
        <v>23</v>
      </c>
      <c r="D9" s="2" t="n">
        <v>0.65</v>
      </c>
      <c r="E9" s="2" t="n">
        <f aca="false">D9*100/$D$2</f>
        <v>76.4705882352941</v>
      </c>
      <c r="F9" s="2" t="n">
        <v>64.4</v>
      </c>
      <c r="G9" s="2" t="n">
        <f aca="false">F9-$F$2</f>
        <v>-1.59999999999999</v>
      </c>
    </row>
    <row r="10" customFormat="false" ht="15.75" hidden="false" customHeight="false" outlineLevel="0" collapsed="false">
      <c r="A10" s="5" t="s">
        <v>24</v>
      </c>
      <c r="B10" s="6" t="n">
        <v>7</v>
      </c>
      <c r="C10" s="2" t="s">
        <v>25</v>
      </c>
      <c r="D10" s="2" t="n">
        <v>0.35</v>
      </c>
      <c r="E10" s="2" t="n">
        <f aca="false">D10*100/$D$2</f>
        <v>41.1764705882353</v>
      </c>
      <c r="F10" s="2" t="n">
        <v>62.4</v>
      </c>
      <c r="G10" s="2" t="n">
        <f aca="false">F10-$F$2</f>
        <v>-3.6</v>
      </c>
    </row>
    <row r="11" customFormat="false" ht="15.75" hidden="false" customHeight="false" outlineLevel="0" collapsed="false">
      <c r="A11" s="5" t="s">
        <v>26</v>
      </c>
      <c r="B11" s="6" t="n">
        <v>8</v>
      </c>
      <c r="C11" s="2" t="s">
        <v>27</v>
      </c>
      <c r="D11" s="2" t="s">
        <v>17</v>
      </c>
      <c r="E11" s="2" t="s">
        <v>14</v>
      </c>
      <c r="F11" s="2" t="n">
        <v>65</v>
      </c>
      <c r="G11" s="2" t="n">
        <f aca="false">F11-$F$2</f>
        <v>-1</v>
      </c>
    </row>
    <row r="12" customFormat="false" ht="15.75" hidden="false" customHeight="false" outlineLevel="0" collapsed="false">
      <c r="A12" s="5" t="s">
        <v>28</v>
      </c>
      <c r="B12" s="6" t="n">
        <v>9</v>
      </c>
      <c r="C12" s="2" t="s">
        <v>29</v>
      </c>
      <c r="D12" s="2" t="n">
        <v>0.16</v>
      </c>
      <c r="E12" s="2" t="n">
        <f aca="false">D12*100/$D$2</f>
        <v>18.8235294117647</v>
      </c>
      <c r="F12" s="2" t="n">
        <v>64</v>
      </c>
      <c r="G12" s="2" t="n">
        <f aca="false">F12-$F$2</f>
        <v>-2</v>
      </c>
    </row>
    <row r="13" customFormat="false" ht="15.75" hidden="false" customHeight="false" outlineLevel="0" collapsed="false">
      <c r="A13" s="5" t="s">
        <v>30</v>
      </c>
      <c r="B13" s="6" t="n">
        <v>10</v>
      </c>
      <c r="C13" s="2" t="s">
        <v>31</v>
      </c>
      <c r="D13" s="7" t="n">
        <v>0.19</v>
      </c>
      <c r="E13" s="2" t="n">
        <f aca="false">D13*100/$D$2</f>
        <v>22.3529411764706</v>
      </c>
      <c r="F13" s="2" t="n">
        <v>65</v>
      </c>
      <c r="G13" s="2" t="n">
        <f aca="false">F13-$F$2</f>
        <v>-1</v>
      </c>
    </row>
    <row r="14" customFormat="false" ht="15.75" hidden="false" customHeight="false" outlineLevel="0" collapsed="false">
      <c r="A14" s="5" t="s">
        <v>32</v>
      </c>
      <c r="B14" s="6" t="n">
        <v>11</v>
      </c>
      <c r="C14" s="2" t="s">
        <v>33</v>
      </c>
      <c r="D14" s="2" t="s">
        <v>17</v>
      </c>
      <c r="E14" s="2" t="s">
        <v>14</v>
      </c>
      <c r="F14" s="2" t="n">
        <v>66</v>
      </c>
      <c r="G14" s="2" t="n">
        <f aca="false">F14-$F$2</f>
        <v>0</v>
      </c>
    </row>
    <row r="15" customFormat="false" ht="15.75" hidden="false" customHeight="false" outlineLevel="0" collapsed="false">
      <c r="A15" s="5" t="s">
        <v>34</v>
      </c>
      <c r="B15" s="6" t="n">
        <v>12</v>
      </c>
      <c r="C15" s="2" t="s">
        <v>35</v>
      </c>
      <c r="D15" s="2" t="s">
        <v>17</v>
      </c>
      <c r="E15" s="2" t="s">
        <v>14</v>
      </c>
      <c r="F15" s="2" t="n">
        <v>69</v>
      </c>
      <c r="G15" s="2" t="n">
        <f aca="false">F15-$F$2</f>
        <v>3</v>
      </c>
    </row>
    <row r="16" customFormat="false" ht="15.75" hidden="false" customHeight="false" outlineLevel="0" collapsed="false">
      <c r="A16" s="5" t="s">
        <v>36</v>
      </c>
      <c r="B16" s="6" t="n">
        <v>1</v>
      </c>
      <c r="C16" s="2" t="s">
        <v>37</v>
      </c>
      <c r="D16" s="2" t="n">
        <v>0.42</v>
      </c>
      <c r="E16" s="2" t="n">
        <f aca="false">D16*100/$D$2</f>
        <v>49.4117647058824</v>
      </c>
      <c r="F16" s="2" t="n">
        <v>64.2</v>
      </c>
      <c r="G16" s="2" t="n">
        <f aca="false">F16-$F$2</f>
        <v>-1.8</v>
      </c>
    </row>
    <row r="17" customFormat="false" ht="15.75" hidden="false" customHeight="false" outlineLevel="0" collapsed="false">
      <c r="A17" s="5" t="s">
        <v>38</v>
      </c>
      <c r="B17" s="6" t="n">
        <v>2</v>
      </c>
      <c r="C17" s="2" t="s">
        <v>39</v>
      </c>
      <c r="D17" s="2" t="s">
        <v>17</v>
      </c>
      <c r="E17" s="2" t="s">
        <v>14</v>
      </c>
      <c r="F17" s="2" t="n">
        <v>65</v>
      </c>
      <c r="G17" s="2" t="n">
        <f aca="false">F17-$F$2</f>
        <v>-1</v>
      </c>
    </row>
    <row r="18" customFormat="false" ht="15.75" hidden="false" customHeight="false" outlineLevel="0" collapsed="false">
      <c r="A18" s="5" t="s">
        <v>40</v>
      </c>
      <c r="B18" s="6" t="n">
        <v>3</v>
      </c>
      <c r="C18" s="2" t="s">
        <v>41</v>
      </c>
      <c r="D18" s="2" t="s">
        <v>17</v>
      </c>
      <c r="E18" s="2" t="s">
        <v>14</v>
      </c>
      <c r="F18" s="2" t="n">
        <v>64</v>
      </c>
      <c r="G18" s="2" t="n">
        <f aca="false">F18-$F$2</f>
        <v>-2</v>
      </c>
    </row>
    <row r="19" customFormat="false" ht="15.75" hidden="false" customHeight="false" outlineLevel="0" collapsed="false">
      <c r="A19" s="5" t="s">
        <v>42</v>
      </c>
      <c r="B19" s="6" t="n">
        <v>4</v>
      </c>
      <c r="C19" s="2" t="s">
        <v>43</v>
      </c>
      <c r="D19" s="2" t="n">
        <v>0.19</v>
      </c>
      <c r="E19" s="2" t="n">
        <f aca="false">D19*100/$D$2</f>
        <v>22.3529411764706</v>
      </c>
      <c r="F19" s="2" t="n">
        <v>63</v>
      </c>
      <c r="G19" s="2" t="n">
        <f aca="false">F19-$F$2</f>
        <v>-3</v>
      </c>
    </row>
    <row r="20" customFormat="false" ht="15.75" hidden="false" customHeight="false" outlineLevel="0" collapsed="false">
      <c r="A20" s="5" t="s">
        <v>44</v>
      </c>
      <c r="B20" s="6" t="n">
        <v>5</v>
      </c>
      <c r="C20" s="2" t="s">
        <v>45</v>
      </c>
      <c r="D20" s="2" t="s">
        <v>17</v>
      </c>
      <c r="E20" s="2" t="s">
        <v>14</v>
      </c>
      <c r="F20" s="2" t="n">
        <v>66.5</v>
      </c>
      <c r="G20" s="2" t="n">
        <f aca="false">F20-$F$2</f>
        <v>0.5</v>
      </c>
    </row>
    <row r="21" customFormat="false" ht="15.75" hidden="false" customHeight="false" outlineLevel="0" collapsed="false">
      <c r="A21" s="5" t="s">
        <v>46</v>
      </c>
      <c r="B21" s="6" t="n">
        <v>6</v>
      </c>
      <c r="C21" s="2" t="s">
        <v>47</v>
      </c>
      <c r="D21" s="2" t="n">
        <v>0.56</v>
      </c>
      <c r="E21" s="2" t="n">
        <f aca="false">D21*100/$D$2</f>
        <v>65.8823529411765</v>
      </c>
      <c r="F21" s="2" t="n">
        <v>68</v>
      </c>
      <c r="G21" s="2" t="n">
        <f aca="false">F21-$F$2</f>
        <v>2</v>
      </c>
    </row>
    <row r="22" customFormat="false" ht="15.75" hidden="false" customHeight="false" outlineLevel="0" collapsed="false">
      <c r="A22" s="5" t="s">
        <v>48</v>
      </c>
      <c r="B22" s="6" t="n">
        <v>7</v>
      </c>
      <c r="C22" s="2" t="s">
        <v>49</v>
      </c>
      <c r="D22" s="2" t="n">
        <v>1.14</v>
      </c>
      <c r="E22" s="2" t="n">
        <f aca="false">D22*100/$D$2</f>
        <v>134.117647058824</v>
      </c>
      <c r="F22" s="2" t="n">
        <v>68.6</v>
      </c>
      <c r="G22" s="2" t="n">
        <f aca="false">F22-$F$2</f>
        <v>2.59999999999999</v>
      </c>
    </row>
    <row r="23" customFormat="false" ht="15.75" hidden="false" customHeight="false" outlineLevel="0" collapsed="false">
      <c r="A23" s="5" t="s">
        <v>50</v>
      </c>
      <c r="B23" s="6" t="n">
        <v>8</v>
      </c>
      <c r="C23" s="2" t="s">
        <v>51</v>
      </c>
      <c r="D23" s="2" t="n">
        <v>0.67</v>
      </c>
      <c r="E23" s="2" t="n">
        <f aca="false">D23*100/$D$2</f>
        <v>78.8235294117647</v>
      </c>
      <c r="F23" s="2" t="n">
        <v>65.2</v>
      </c>
      <c r="G23" s="2" t="n">
        <f aca="false">F23-$F$2</f>
        <v>-0.799999999999997</v>
      </c>
    </row>
    <row r="24" customFormat="false" ht="15.75" hidden="false" customHeight="false" outlineLevel="0" collapsed="false">
      <c r="A24" s="5" t="s">
        <v>52</v>
      </c>
      <c r="B24" s="6" t="n">
        <v>9</v>
      </c>
      <c r="C24" s="2" t="s">
        <v>53</v>
      </c>
      <c r="D24" s="2" t="n">
        <v>0.92</v>
      </c>
      <c r="E24" s="2" t="n">
        <f aca="false">D24*100/$D$2</f>
        <v>108.235294117647</v>
      </c>
      <c r="F24" s="2" t="n">
        <v>67.2</v>
      </c>
      <c r="G24" s="2" t="n">
        <f aca="false">F24-$F$2</f>
        <v>1.2</v>
      </c>
    </row>
    <row r="25" customFormat="false" ht="15.75" hidden="false" customHeight="false" outlineLevel="0" collapsed="false">
      <c r="A25" s="5" t="s">
        <v>54</v>
      </c>
      <c r="B25" s="6" t="n">
        <v>10</v>
      </c>
      <c r="C25" s="2" t="s">
        <v>55</v>
      </c>
      <c r="D25" s="2" t="n">
        <v>0.89</v>
      </c>
      <c r="E25" s="2" t="n">
        <f aca="false">D25*100/$D$2</f>
        <v>104.705882352941</v>
      </c>
      <c r="F25" s="2" t="n">
        <v>66.2</v>
      </c>
      <c r="G25" s="2" t="n">
        <f aca="false">F25-$F$2</f>
        <v>0.200000000000003</v>
      </c>
    </row>
    <row r="26" customFormat="false" ht="15.75" hidden="false" customHeight="false" outlineLevel="0" collapsed="false">
      <c r="A26" s="5" t="s">
        <v>56</v>
      </c>
      <c r="B26" s="6" t="n">
        <v>11</v>
      </c>
      <c r="C26" s="2" t="s">
        <v>57</v>
      </c>
      <c r="D26" s="2" t="n">
        <v>0.88</v>
      </c>
      <c r="E26" s="2" t="n">
        <f aca="false">D26*100/$D$2</f>
        <v>103.529411764706</v>
      </c>
      <c r="F26" s="2" t="n">
        <v>69.2</v>
      </c>
      <c r="G26" s="2" t="n">
        <f aca="false">F26-$F$2</f>
        <v>3.2</v>
      </c>
    </row>
    <row r="27" customFormat="false" ht="15.75" hidden="false" customHeight="false" outlineLevel="0" collapsed="false">
      <c r="A27" s="5" t="s">
        <v>58</v>
      </c>
      <c r="B27" s="6" t="n">
        <v>12</v>
      </c>
      <c r="C27" s="2" t="s">
        <v>59</v>
      </c>
      <c r="D27" s="2" t="n">
        <v>1</v>
      </c>
      <c r="E27" s="2" t="n">
        <f aca="false">D27*100/$D$2</f>
        <v>117.647058823529</v>
      </c>
      <c r="F27" s="2" t="n">
        <v>66.4</v>
      </c>
      <c r="G27" s="2" t="n">
        <f aca="false">F27-$F$2</f>
        <v>0.400000000000006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2025-09-24T03:27:42Z</dcterms:created>
  <dc:creator>Dan Kozome</dc:creator>
  <dc:description/>
  <dc:language>en-US</dc:language>
  <cp:lastModifiedBy/>
  <dcterms:modified xsi:type="dcterms:W3CDTF">2025-09-29T11:32:52Z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