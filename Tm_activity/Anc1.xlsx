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ba24/Desktop/AFP/"/>
    </mc:Choice>
  </mc:AlternateContent>
  <xr:revisionPtr revIDLastSave="0" documentId="13_ncr:1_{16CCBC71-8750-2F42-BB0E-01CC05DD6612}" xr6:coauthVersionLast="47" xr6:coauthVersionMax="47" xr10:uidLastSave="{00000000-0000-0000-0000-000000000000}"/>
  <bookViews>
    <workbookView xWindow="-32100" yWindow="4460" windowWidth="27900" windowHeight="16400" xr2:uid="{43C85DD7-D0A2-CD42-9A51-72C979E0E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4" i="1"/>
  <c r="J15" i="1"/>
  <c r="J16" i="1"/>
  <c r="J18" i="1"/>
  <c r="J20" i="1"/>
  <c r="J21" i="1"/>
  <c r="J24" i="1"/>
  <c r="J26" i="1"/>
  <c r="J27" i="1"/>
  <c r="J33" i="1"/>
  <c r="J34" i="1"/>
  <c r="J35" i="1"/>
  <c r="J37" i="1"/>
  <c r="J38" i="1"/>
  <c r="J39" i="1"/>
  <c r="J40" i="1"/>
  <c r="J41" i="1"/>
  <c r="J42" i="1"/>
  <c r="J46" i="1"/>
  <c r="J47" i="1"/>
  <c r="J49" i="1"/>
  <c r="J2" i="1"/>
</calcChain>
</file>

<file path=xl/sharedStrings.xml><?xml version="1.0" encoding="utf-8"?>
<sst xmlns="http://schemas.openxmlformats.org/spreadsheetml/2006/main" count="163" uniqueCount="103">
  <si>
    <t>name</t>
    <phoneticPr fontId="1"/>
  </si>
  <si>
    <t>loop length</t>
    <phoneticPr fontId="1"/>
  </si>
  <si>
    <t>loop seq</t>
    <phoneticPr fontId="1"/>
  </si>
  <si>
    <t>ANMRPFG</t>
    <phoneticPr fontId="1"/>
  </si>
  <si>
    <t>A</t>
    <phoneticPr fontId="1"/>
  </si>
  <si>
    <t>AN</t>
    <phoneticPr fontId="1"/>
  </si>
  <si>
    <t>ANM</t>
    <phoneticPr fontId="1"/>
  </si>
  <si>
    <t>ANMR</t>
    <phoneticPr fontId="1"/>
  </si>
  <si>
    <t>ANMRP</t>
    <phoneticPr fontId="1"/>
  </si>
  <si>
    <t>ANMRPF</t>
    <phoneticPr fontId="1"/>
  </si>
  <si>
    <t>-</t>
    <phoneticPr fontId="1"/>
  </si>
  <si>
    <t>G</t>
    <phoneticPr fontId="1"/>
  </si>
  <si>
    <t>FG</t>
    <phoneticPr fontId="1"/>
  </si>
  <si>
    <t>PFG</t>
    <phoneticPr fontId="1"/>
  </si>
  <si>
    <t>RPFG</t>
    <phoneticPr fontId="1"/>
  </si>
  <si>
    <t>MRPFG</t>
    <phoneticPr fontId="1"/>
  </si>
  <si>
    <t>NMRPFG</t>
    <phoneticPr fontId="1"/>
  </si>
  <si>
    <t>SSPKP</t>
    <phoneticPr fontId="1"/>
  </si>
  <si>
    <t>S</t>
    <phoneticPr fontId="1"/>
  </si>
  <si>
    <t>SS</t>
    <phoneticPr fontId="1"/>
  </si>
  <si>
    <t>SSP</t>
    <phoneticPr fontId="1"/>
  </si>
  <si>
    <t>SSPK</t>
    <phoneticPr fontId="1"/>
  </si>
  <si>
    <t>P</t>
    <phoneticPr fontId="1"/>
  </si>
  <si>
    <t>KP</t>
    <phoneticPr fontId="1"/>
  </si>
  <si>
    <t>PKP</t>
    <phoneticPr fontId="1"/>
  </si>
  <si>
    <t>SPKP</t>
    <phoneticPr fontId="1"/>
  </si>
  <si>
    <t>WTPSSADLAANR</t>
    <phoneticPr fontId="1"/>
  </si>
  <si>
    <t>W</t>
    <phoneticPr fontId="1"/>
  </si>
  <si>
    <t>WT</t>
    <phoneticPr fontId="1"/>
  </si>
  <si>
    <t>WTP</t>
    <phoneticPr fontId="1"/>
  </si>
  <si>
    <t>WTPS</t>
    <phoneticPr fontId="1"/>
  </si>
  <si>
    <t>WTPSS</t>
    <phoneticPr fontId="1"/>
  </si>
  <si>
    <t>WTPSSA</t>
    <phoneticPr fontId="1"/>
  </si>
  <si>
    <t>WTPSSAD</t>
    <phoneticPr fontId="1"/>
  </si>
  <si>
    <t>WTPSSADL</t>
    <phoneticPr fontId="1"/>
  </si>
  <si>
    <t>WTPSSADLA</t>
    <phoneticPr fontId="1"/>
  </si>
  <si>
    <t>WTPSSADLAA</t>
    <phoneticPr fontId="1"/>
  </si>
  <si>
    <t>WTPSSADLAAN</t>
    <phoneticPr fontId="1"/>
  </si>
  <si>
    <t>NR</t>
    <phoneticPr fontId="1"/>
  </si>
  <si>
    <t>R</t>
    <phoneticPr fontId="1"/>
  </si>
  <si>
    <t>ANR</t>
    <phoneticPr fontId="1"/>
  </si>
  <si>
    <t>AANR</t>
    <phoneticPr fontId="1"/>
  </si>
  <si>
    <t>LAANR</t>
    <phoneticPr fontId="1"/>
  </si>
  <si>
    <t>DLAANR</t>
    <phoneticPr fontId="1"/>
  </si>
  <si>
    <t>ADLAANR</t>
    <phoneticPr fontId="1"/>
  </si>
  <si>
    <t>SADLAANR</t>
    <phoneticPr fontId="1"/>
  </si>
  <si>
    <t>SSADLAANR</t>
    <phoneticPr fontId="1"/>
  </si>
  <si>
    <t>PSSADLAANR</t>
    <phoneticPr fontId="1"/>
  </si>
  <si>
    <t>TPSSADLAANR</t>
    <phoneticPr fontId="1"/>
  </si>
  <si>
    <t>chitinase (lysate)</t>
    <phoneticPr fontId="1"/>
  </si>
  <si>
    <t>sd</t>
    <phoneticPr fontId="1"/>
  </si>
  <si>
    <t>Chitinase(%)</t>
    <phoneticPr fontId="1"/>
  </si>
  <si>
    <t>Tm</t>
    <phoneticPr fontId="1"/>
  </si>
  <si>
    <t>n. d.</t>
  </si>
  <si>
    <t>del Tm</t>
    <phoneticPr fontId="1"/>
  </si>
  <si>
    <t>Anc1_LC_1000000</t>
    <phoneticPr fontId="1"/>
  </si>
  <si>
    <t>Anc1_LC_1100000</t>
    <phoneticPr fontId="1"/>
  </si>
  <si>
    <t>Anc1_LC_1110000</t>
    <phoneticPr fontId="1"/>
  </si>
  <si>
    <t>Anc1_LC_wt</t>
    <phoneticPr fontId="1"/>
  </si>
  <si>
    <t>Anc1_LC_1111000</t>
    <phoneticPr fontId="1"/>
  </si>
  <si>
    <t>Anc1_LC_1111100</t>
    <phoneticPr fontId="1"/>
  </si>
  <si>
    <t>Anc1_LC_1111110</t>
    <phoneticPr fontId="1"/>
  </si>
  <si>
    <t>Anc1_LC_1111111</t>
    <phoneticPr fontId="1"/>
  </si>
  <si>
    <t>Anc1_LC_0000001</t>
    <phoneticPr fontId="1"/>
  </si>
  <si>
    <t>Anc1_LC_0000011</t>
    <phoneticPr fontId="1"/>
  </si>
  <si>
    <t>Anc1_LC_0000111</t>
    <phoneticPr fontId="1"/>
  </si>
  <si>
    <t>Anc1_LC_0001111</t>
    <phoneticPr fontId="1"/>
  </si>
  <si>
    <t>Anc1_LC_0011111</t>
    <phoneticPr fontId="1"/>
  </si>
  <si>
    <t>Anc1_LC_0111111</t>
    <phoneticPr fontId="1"/>
  </si>
  <si>
    <t>Anc1_LIV_wt</t>
    <phoneticPr fontId="1"/>
  </si>
  <si>
    <t>Anc1_LIV_10000</t>
    <phoneticPr fontId="1"/>
  </si>
  <si>
    <t>Anc1_LIV_11000</t>
    <phoneticPr fontId="1"/>
  </si>
  <si>
    <t>Anc1_LIV_11100</t>
    <phoneticPr fontId="1"/>
  </si>
  <si>
    <t>Anc1_LIV_11110</t>
    <phoneticPr fontId="1"/>
  </si>
  <si>
    <t>Anc1_LIV_00001</t>
    <phoneticPr fontId="1"/>
  </si>
  <si>
    <t>Anc1_LIV_00011</t>
    <phoneticPr fontId="1"/>
  </si>
  <si>
    <t>Anc1_LIV_00111</t>
    <phoneticPr fontId="1"/>
  </si>
  <si>
    <t>Anc1_LIV_01111</t>
    <phoneticPr fontId="1"/>
  </si>
  <si>
    <t>Anc1_LV_wt</t>
    <phoneticPr fontId="1"/>
  </si>
  <si>
    <t>Anc1_LIV_11111</t>
    <phoneticPr fontId="1"/>
  </si>
  <si>
    <t>Anc1_LV_100000000000</t>
    <phoneticPr fontId="1"/>
  </si>
  <si>
    <t>Anc1_LV_110000000000</t>
    <phoneticPr fontId="1"/>
  </si>
  <si>
    <t>Anc1_LV_111000000000</t>
    <phoneticPr fontId="1"/>
  </si>
  <si>
    <t>Anc1_LV_111100000000</t>
    <phoneticPr fontId="1"/>
  </si>
  <si>
    <t>Anc1_LV_111110000000</t>
    <phoneticPr fontId="1"/>
  </si>
  <si>
    <t>Anc1_LV_111111000000</t>
    <phoneticPr fontId="1"/>
  </si>
  <si>
    <t>Anc1_LV_111111100000</t>
    <phoneticPr fontId="1"/>
  </si>
  <si>
    <t>Anc1_LV_111111110000</t>
    <phoneticPr fontId="1"/>
  </si>
  <si>
    <t>Anc1_LV_111111111000</t>
    <phoneticPr fontId="1"/>
  </si>
  <si>
    <t>Anc1_LV_111111111100</t>
    <phoneticPr fontId="1"/>
  </si>
  <si>
    <t>Anc1_LV_111111111110</t>
    <phoneticPr fontId="1"/>
  </si>
  <si>
    <t>Anc1_LV_000000000001</t>
    <phoneticPr fontId="1"/>
  </si>
  <si>
    <t>Anc1_LV_000000000011</t>
    <phoneticPr fontId="1"/>
  </si>
  <si>
    <t>Anc1_LV_000000000111</t>
    <phoneticPr fontId="1"/>
  </si>
  <si>
    <t>Anc1_LV_000000001111</t>
    <phoneticPr fontId="1"/>
  </si>
  <si>
    <t>Anc1_LV_000000011111</t>
    <phoneticPr fontId="1"/>
  </si>
  <si>
    <t>Anc1_LV_000000111111</t>
    <phoneticPr fontId="1"/>
  </si>
  <si>
    <t>Anc1_LV_000001111111</t>
    <phoneticPr fontId="1"/>
  </si>
  <si>
    <t>Anc1_LV_000011111111</t>
    <phoneticPr fontId="1"/>
  </si>
  <si>
    <t>Anc1_LV_000111111111</t>
    <phoneticPr fontId="1"/>
  </si>
  <si>
    <t>Anc1_LV_001111111111</t>
    <phoneticPr fontId="1"/>
  </si>
  <si>
    <t>Anc1_LV_011111111111</t>
    <phoneticPr fontId="1"/>
  </si>
  <si>
    <t>Anc1_LV_111111111111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</si>
</sst>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912D-7839-C44D-BD5D-26E15D7666A8}">
  <dimension ref="A1:J49"/>
  <sheetViews>
    <sheetView tabSelected="1" workbookViewId="0">
      <selection activeCell="N7" sqref="N7"/>
    </sheetView>
  </sheetViews>
  <sheetFormatPr baseColWidth="10" defaultRowHeight="20"/>
  <cols>
    <col min="1" max="1" width="22.42578125" customWidth="1"/>
    <col min="3" max="3" width="14.7109375" customWidth="1"/>
    <col min="4" max="4" width="14.5703125" customWidth="1"/>
  </cols>
  <sheetData>
    <row r="1" spans="1:10">
      <c r="A1" t="s">
        <v>0</v>
      </c>
      <c r="B1" t="s">
        <v>1</v>
      </c>
      <c r="C1" t="s">
        <v>2</v>
      </c>
      <c r="D1" t="s">
        <v>49</v>
      </c>
      <c r="E1" t="s">
        <v>50</v>
      </c>
      <c r="F1" t="s">
        <v>51</v>
      </c>
      <c r="G1" t="s">
        <v>50</v>
      </c>
      <c r="H1" t="s">
        <v>52</v>
      </c>
      <c r="I1" t="s">
        <v>50</v>
      </c>
      <c r="J1" t="s">
        <v>54</v>
      </c>
    </row>
    <row r="2" spans="1:10">
      <c r="A2" t="s">
        <v>58</v>
      </c>
      <c r="B2">
        <v>0</v>
      </c>
      <c r="C2" t="s">
        <v>10</v>
      </c>
      <c r="D2">
        <v>0.40100000000000002</v>
      </c>
      <c r="F2">
        <v>100</v>
      </c>
      <c r="H2">
        <v>58.5</v>
      </c>
      <c r="J2">
        <f>H2-$H$2</f>
        <v>0</v>
      </c>
    </row>
    <row r="3" spans="1:10">
      <c r="A3" t="s">
        <v>55</v>
      </c>
      <c r="B3">
        <v>1</v>
      </c>
      <c r="C3" t="s">
        <v>4</v>
      </c>
      <c r="D3">
        <v>5.3333333333333123E-3</v>
      </c>
      <c r="E3">
        <v>3.2704060230429398E-2</v>
      </c>
      <c r="F3">
        <v>1.3300083125519482</v>
      </c>
      <c r="G3">
        <v>8.1556259926257848</v>
      </c>
      <c r="H3" t="s">
        <v>53</v>
      </c>
      <c r="I3" t="s">
        <v>53</v>
      </c>
      <c r="J3" t="s">
        <v>53</v>
      </c>
    </row>
    <row r="4" spans="1:10">
      <c r="A4" t="s">
        <v>56</v>
      </c>
      <c r="B4">
        <v>2</v>
      </c>
      <c r="C4" t="s">
        <v>5</v>
      </c>
      <c r="D4">
        <v>0.52066666666666661</v>
      </c>
      <c r="E4">
        <v>4.6478190823462766E-2</v>
      </c>
      <c r="F4">
        <v>129.84206151288444</v>
      </c>
      <c r="G4">
        <v>11.590571277671511</v>
      </c>
      <c r="H4">
        <v>50.3</v>
      </c>
      <c r="I4">
        <v>2.2000000000000002</v>
      </c>
      <c r="J4">
        <f t="shared" ref="J3:J49" si="0">H4-$H$2</f>
        <v>-8.2000000000000028</v>
      </c>
    </row>
    <row r="5" spans="1:10">
      <c r="A5" t="s">
        <v>57</v>
      </c>
      <c r="B5">
        <v>3</v>
      </c>
      <c r="C5" t="s">
        <v>6</v>
      </c>
      <c r="D5">
        <v>0.46566666666666662</v>
      </c>
      <c r="E5">
        <v>5.9252754272598296E-2</v>
      </c>
      <c r="F5">
        <v>116.12635078969242</v>
      </c>
      <c r="G5">
        <v>14.776247948278876</v>
      </c>
      <c r="H5">
        <v>57.8</v>
      </c>
      <c r="I5">
        <v>2.4</v>
      </c>
      <c r="J5">
        <f t="shared" si="0"/>
        <v>-0.70000000000000284</v>
      </c>
    </row>
    <row r="6" spans="1:10">
      <c r="A6" t="s">
        <v>59</v>
      </c>
      <c r="B6">
        <v>4</v>
      </c>
      <c r="C6" t="s">
        <v>7</v>
      </c>
      <c r="D6">
        <v>0.49033333333333329</v>
      </c>
      <c r="E6">
        <v>7.8103919378109302E-2</v>
      </c>
      <c r="F6">
        <v>122.2776392352452</v>
      </c>
      <c r="G6">
        <v>19.477286627957429</v>
      </c>
      <c r="H6">
        <v>54.2</v>
      </c>
      <c r="I6">
        <v>0.8</v>
      </c>
      <c r="J6">
        <f t="shared" si="0"/>
        <v>-4.2999999999999972</v>
      </c>
    </row>
    <row r="7" spans="1:10">
      <c r="A7" t="s">
        <v>60</v>
      </c>
      <c r="B7">
        <v>5</v>
      </c>
      <c r="C7" t="s">
        <v>8</v>
      </c>
      <c r="D7">
        <v>0.48799999999999999</v>
      </c>
      <c r="E7">
        <v>8.1367479171144647E-2</v>
      </c>
      <c r="F7">
        <v>121.69576059850372</v>
      </c>
      <c r="G7">
        <v>20.291141937941305</v>
      </c>
      <c r="H7">
        <v>52.1</v>
      </c>
      <c r="I7">
        <v>0.2</v>
      </c>
      <c r="J7">
        <f t="shared" si="0"/>
        <v>-6.3999999999999986</v>
      </c>
    </row>
    <row r="8" spans="1:10">
      <c r="A8" t="s">
        <v>61</v>
      </c>
      <c r="B8">
        <v>6</v>
      </c>
      <c r="C8" t="s">
        <v>9</v>
      </c>
      <c r="D8">
        <v>0.46666666666666662</v>
      </c>
      <c r="E8">
        <v>9.5360136092371053E-2</v>
      </c>
      <c r="F8">
        <v>116.37572734829591</v>
      </c>
      <c r="G8">
        <v>23.780582566676074</v>
      </c>
      <c r="H8">
        <v>50.1</v>
      </c>
      <c r="I8">
        <v>0.6</v>
      </c>
      <c r="J8">
        <f t="shared" si="0"/>
        <v>-8.3999999999999986</v>
      </c>
    </row>
    <row r="9" spans="1:10">
      <c r="A9" t="s">
        <v>62</v>
      </c>
      <c r="B9">
        <v>7</v>
      </c>
      <c r="C9" t="s">
        <v>3</v>
      </c>
      <c r="D9">
        <v>0.44066666666666671</v>
      </c>
      <c r="E9">
        <v>0.13921765532990249</v>
      </c>
      <c r="F9">
        <v>109.89193682460515</v>
      </c>
      <c r="G9">
        <v>34.71761978301808</v>
      </c>
      <c r="H9">
        <v>52</v>
      </c>
      <c r="I9">
        <v>0.3</v>
      </c>
      <c r="J9">
        <f t="shared" si="0"/>
        <v>-6.5</v>
      </c>
    </row>
    <row r="10" spans="1:10">
      <c r="A10" t="s">
        <v>63</v>
      </c>
      <c r="B10">
        <v>1</v>
      </c>
      <c r="C10" t="s">
        <v>11</v>
      </c>
      <c r="D10">
        <v>0.53199999999999992</v>
      </c>
      <c r="E10">
        <v>2.4262453846770428E-2</v>
      </c>
      <c r="F10">
        <v>132.66832917705733</v>
      </c>
      <c r="G10">
        <v>6.0504872435836479</v>
      </c>
      <c r="H10">
        <v>54.3</v>
      </c>
      <c r="I10">
        <v>3.5</v>
      </c>
      <c r="J10">
        <f t="shared" si="0"/>
        <v>-4.2000000000000028</v>
      </c>
    </row>
    <row r="11" spans="1:10">
      <c r="A11" t="s">
        <v>64</v>
      </c>
      <c r="B11">
        <v>2</v>
      </c>
      <c r="C11" t="s">
        <v>12</v>
      </c>
      <c r="D11">
        <v>-5.0000000000000253E-3</v>
      </c>
      <c r="E11">
        <v>4.3825411197918773E-2</v>
      </c>
      <c r="F11">
        <v>-1.2468827930174626</v>
      </c>
      <c r="G11">
        <v>10.929030223919893</v>
      </c>
      <c r="H11" t="s">
        <v>53</v>
      </c>
      <c r="I11" t="s">
        <v>53</v>
      </c>
      <c r="J11" t="s">
        <v>53</v>
      </c>
    </row>
    <row r="12" spans="1:10">
      <c r="A12" t="s">
        <v>65</v>
      </c>
      <c r="B12">
        <v>3</v>
      </c>
      <c r="C12" t="s">
        <v>13</v>
      </c>
      <c r="D12">
        <v>-6.9999999999999897E-3</v>
      </c>
      <c r="E12">
        <v>3.3296646477786122E-2</v>
      </c>
      <c r="F12">
        <v>-1.7456359102244361</v>
      </c>
      <c r="G12">
        <v>8.303403111667361</v>
      </c>
      <c r="H12" t="s">
        <v>53</v>
      </c>
      <c r="I12" t="s">
        <v>53</v>
      </c>
      <c r="J12" t="s">
        <v>53</v>
      </c>
    </row>
    <row r="13" spans="1:10">
      <c r="A13" t="s">
        <v>66</v>
      </c>
      <c r="B13">
        <v>4</v>
      </c>
      <c r="C13" t="s">
        <v>14</v>
      </c>
      <c r="D13">
        <v>-1.5666666666666662E-2</v>
      </c>
      <c r="E13">
        <v>3.1668421004036322E-2</v>
      </c>
      <c r="F13">
        <v>-3.9068994181213621</v>
      </c>
      <c r="G13">
        <v>7.897361846393097</v>
      </c>
      <c r="H13" t="s">
        <v>53</v>
      </c>
      <c r="I13" t="s">
        <v>53</v>
      </c>
      <c r="J13" t="s">
        <v>53</v>
      </c>
    </row>
    <row r="14" spans="1:10">
      <c r="A14" t="s">
        <v>67</v>
      </c>
      <c r="B14">
        <v>5</v>
      </c>
      <c r="C14" t="s">
        <v>15</v>
      </c>
      <c r="D14">
        <v>0.4383333333333333</v>
      </c>
      <c r="E14">
        <v>0.1228368384845886</v>
      </c>
      <c r="F14">
        <v>109.31005818786366</v>
      </c>
      <c r="G14">
        <v>30.632628051019601</v>
      </c>
      <c r="H14">
        <v>60.8</v>
      </c>
      <c r="I14">
        <v>2.7</v>
      </c>
      <c r="J14">
        <f t="shared" si="0"/>
        <v>2.2999999999999972</v>
      </c>
    </row>
    <row r="15" spans="1:10">
      <c r="A15" t="s">
        <v>68</v>
      </c>
      <c r="B15">
        <v>6</v>
      </c>
      <c r="C15" t="s">
        <v>16</v>
      </c>
      <c r="D15">
        <v>0.49433333333333329</v>
      </c>
      <c r="E15">
        <v>8.0855151694592259E-2</v>
      </c>
      <c r="F15">
        <v>123.27514546965917</v>
      </c>
      <c r="G15">
        <v>20.163379474960664</v>
      </c>
      <c r="H15">
        <v>52.7</v>
      </c>
      <c r="I15">
        <v>0.6</v>
      </c>
      <c r="J15">
        <f t="shared" si="0"/>
        <v>-5.7999999999999972</v>
      </c>
    </row>
    <row r="16" spans="1:10">
      <c r="A16" t="s">
        <v>69</v>
      </c>
      <c r="B16">
        <v>0</v>
      </c>
      <c r="C16" t="s">
        <v>10</v>
      </c>
      <c r="D16">
        <v>0.40100000000000002</v>
      </c>
      <c r="F16">
        <v>100</v>
      </c>
      <c r="G16">
        <v>0</v>
      </c>
      <c r="H16">
        <v>58.5</v>
      </c>
      <c r="J16">
        <f t="shared" si="0"/>
        <v>0</v>
      </c>
    </row>
    <row r="17" spans="1:10">
      <c r="A17" t="s">
        <v>70</v>
      </c>
      <c r="B17">
        <v>1</v>
      </c>
      <c r="C17" t="s">
        <v>18</v>
      </c>
      <c r="D17">
        <v>-3.3333333333333361E-3</v>
      </c>
      <c r="E17">
        <v>3.7419543319263331E-2</v>
      </c>
      <c r="F17">
        <v>-0.8312551953449715</v>
      </c>
      <c r="G17">
        <v>9.3315569374721505</v>
      </c>
      <c r="H17" t="s">
        <v>53</v>
      </c>
      <c r="I17" t="s">
        <v>53</v>
      </c>
      <c r="J17" t="s">
        <v>53</v>
      </c>
    </row>
    <row r="18" spans="1:10">
      <c r="A18" t="s">
        <v>71</v>
      </c>
      <c r="B18">
        <v>2</v>
      </c>
      <c r="C18" t="s">
        <v>19</v>
      </c>
      <c r="D18">
        <v>0.54033333333333322</v>
      </c>
      <c r="E18">
        <v>1.236482466066095E-2</v>
      </c>
      <c r="F18">
        <v>134.74646716541974</v>
      </c>
      <c r="G18">
        <v>3.083497421611209</v>
      </c>
      <c r="H18">
        <v>52.6</v>
      </c>
      <c r="I18">
        <v>1.8</v>
      </c>
      <c r="J18">
        <f t="shared" si="0"/>
        <v>-5.8999999999999986</v>
      </c>
    </row>
    <row r="19" spans="1:10">
      <c r="A19" t="s">
        <v>72</v>
      </c>
      <c r="B19">
        <v>3</v>
      </c>
      <c r="C19" t="s">
        <v>20</v>
      </c>
      <c r="D19">
        <v>-4.6666666666666705E-3</v>
      </c>
      <c r="E19">
        <v>3.890444133457719E-2</v>
      </c>
      <c r="F19">
        <v>-1.1637572734829602</v>
      </c>
      <c r="G19">
        <v>9.7018556944082768</v>
      </c>
      <c r="H19" t="s">
        <v>53</v>
      </c>
      <c r="I19" t="s">
        <v>53</v>
      </c>
      <c r="J19" t="s">
        <v>53</v>
      </c>
    </row>
    <row r="20" spans="1:10">
      <c r="A20" t="s">
        <v>73</v>
      </c>
      <c r="B20">
        <v>4</v>
      </c>
      <c r="C20" t="s">
        <v>21</v>
      </c>
      <c r="D20">
        <v>0.46166666666666661</v>
      </c>
      <c r="E20">
        <v>0.12492486630860282</v>
      </c>
      <c r="F20">
        <v>115.12884455527846</v>
      </c>
      <c r="G20">
        <v>31.153333244040603</v>
      </c>
      <c r="H20">
        <v>51.9</v>
      </c>
      <c r="I20">
        <v>1.3</v>
      </c>
      <c r="J20">
        <f t="shared" si="0"/>
        <v>-6.6000000000000014</v>
      </c>
    </row>
    <row r="21" spans="1:10">
      <c r="A21" t="s">
        <v>79</v>
      </c>
      <c r="B21">
        <v>5</v>
      </c>
      <c r="C21" t="s">
        <v>17</v>
      </c>
      <c r="D21">
        <v>0.52333333333333332</v>
      </c>
      <c r="E21">
        <v>3.7007506746004303E-2</v>
      </c>
      <c r="F21">
        <v>130.50706566916043</v>
      </c>
      <c r="G21">
        <v>9.2288046748140395</v>
      </c>
      <c r="H21">
        <v>54.7</v>
      </c>
      <c r="I21">
        <v>1.2</v>
      </c>
      <c r="J21">
        <f t="shared" si="0"/>
        <v>-3.7999999999999972</v>
      </c>
    </row>
    <row r="22" spans="1:10">
      <c r="A22" t="s">
        <v>74</v>
      </c>
      <c r="B22">
        <v>1</v>
      </c>
      <c r="C22" t="s">
        <v>22</v>
      </c>
      <c r="D22">
        <v>-1.100000000000001E-2</v>
      </c>
      <c r="E22">
        <v>4.4639295095987686E-2</v>
      </c>
      <c r="F22">
        <v>-2.7431421446384063</v>
      </c>
      <c r="G22">
        <v>11.131993789523113</v>
      </c>
      <c r="H22" t="s">
        <v>53</v>
      </c>
      <c r="I22" t="s">
        <v>53</v>
      </c>
      <c r="J22" t="s">
        <v>53</v>
      </c>
    </row>
    <row r="23" spans="1:10">
      <c r="A23" t="s">
        <v>75</v>
      </c>
      <c r="B23">
        <v>2</v>
      </c>
      <c r="C23" t="s">
        <v>23</v>
      </c>
      <c r="D23">
        <v>-4.6666666666666705E-3</v>
      </c>
      <c r="E23">
        <v>4.074582459862882E-2</v>
      </c>
      <c r="F23">
        <v>-1.1637572734829602</v>
      </c>
      <c r="G23">
        <v>10.161053515867536</v>
      </c>
      <c r="H23" t="s">
        <v>53</v>
      </c>
      <c r="I23" t="s">
        <v>53</v>
      </c>
      <c r="J23" t="s">
        <v>53</v>
      </c>
    </row>
    <row r="24" spans="1:10">
      <c r="A24" t="s">
        <v>76</v>
      </c>
      <c r="B24">
        <v>3</v>
      </c>
      <c r="C24" t="s">
        <v>24</v>
      </c>
      <c r="D24">
        <v>0.5026666666666666</v>
      </c>
      <c r="E24">
        <v>6.2001792088795402E-2</v>
      </c>
      <c r="F24">
        <v>125.35328345802158</v>
      </c>
      <c r="G24">
        <v>15.461793538352966</v>
      </c>
      <c r="H24">
        <v>52.9</v>
      </c>
      <c r="I24">
        <v>0.8</v>
      </c>
      <c r="J24">
        <f t="shared" si="0"/>
        <v>-5.6000000000000014</v>
      </c>
    </row>
    <row r="25" spans="1:10">
      <c r="A25" t="s">
        <v>77</v>
      </c>
      <c r="B25">
        <v>4</v>
      </c>
      <c r="C25" t="s">
        <v>25</v>
      </c>
      <c r="D25">
        <v>-3.3333333333333361E-3</v>
      </c>
      <c r="E25">
        <v>4.3606829230701458E-2</v>
      </c>
      <c r="F25">
        <v>-0.8312551953449715</v>
      </c>
      <c r="G25">
        <v>10.874521005162457</v>
      </c>
      <c r="H25" t="s">
        <v>53</v>
      </c>
      <c r="I25" t="s">
        <v>53</v>
      </c>
      <c r="J25" t="s">
        <v>53</v>
      </c>
    </row>
    <row r="26" spans="1:10">
      <c r="A26" t="s">
        <v>78</v>
      </c>
      <c r="B26">
        <v>0</v>
      </c>
      <c r="C26" t="s">
        <v>10</v>
      </c>
      <c r="D26">
        <v>0.40100000000000002</v>
      </c>
      <c r="E26">
        <v>0</v>
      </c>
      <c r="F26">
        <v>100</v>
      </c>
      <c r="G26">
        <v>0</v>
      </c>
      <c r="H26">
        <v>58.5</v>
      </c>
      <c r="J26">
        <f t="shared" si="0"/>
        <v>0</v>
      </c>
    </row>
    <row r="27" spans="1:10">
      <c r="A27" t="s">
        <v>80</v>
      </c>
      <c r="B27">
        <v>1</v>
      </c>
      <c r="C27" t="s">
        <v>27</v>
      </c>
      <c r="D27">
        <v>0.45133333333333331</v>
      </c>
      <c r="E27">
        <v>1.2472191289246502E-2</v>
      </c>
      <c r="F27">
        <v>112.55195344970905</v>
      </c>
      <c r="G27">
        <v>3.1102721419567332</v>
      </c>
      <c r="H27">
        <v>55</v>
      </c>
      <c r="I27">
        <v>1.8</v>
      </c>
      <c r="J27">
        <f t="shared" si="0"/>
        <v>-3.5</v>
      </c>
    </row>
    <row r="28" spans="1:10">
      <c r="A28" t="s">
        <v>81</v>
      </c>
      <c r="B28">
        <v>2</v>
      </c>
      <c r="C28" t="s">
        <v>28</v>
      </c>
      <c r="D28">
        <v>-1.5333333333333346E-2</v>
      </c>
      <c r="E28">
        <v>3.395421754199162E-2</v>
      </c>
      <c r="F28">
        <v>-3.823773898586869</v>
      </c>
      <c r="G28">
        <v>8.4673859206961648</v>
      </c>
      <c r="H28" t="s">
        <v>53</v>
      </c>
      <c r="I28" t="s">
        <v>53</v>
      </c>
      <c r="J28" t="s">
        <v>53</v>
      </c>
    </row>
    <row r="29" spans="1:10">
      <c r="A29" t="s">
        <v>82</v>
      </c>
      <c r="B29">
        <v>3</v>
      </c>
      <c r="C29" t="s">
        <v>29</v>
      </c>
      <c r="D29">
        <v>-1.4333333333333345E-2</v>
      </c>
      <c r="E29">
        <v>3.0269162892657336E-2</v>
      </c>
      <c r="F29">
        <v>-3.5743973399833773</v>
      </c>
      <c r="G29">
        <v>7.5484196739793852</v>
      </c>
      <c r="H29" t="s">
        <v>53</v>
      </c>
      <c r="I29" t="s">
        <v>53</v>
      </c>
      <c r="J29" t="s">
        <v>53</v>
      </c>
    </row>
    <row r="30" spans="1:10">
      <c r="A30" t="s">
        <v>83</v>
      </c>
      <c r="B30">
        <v>4</v>
      </c>
      <c r="C30" t="s">
        <v>30</v>
      </c>
      <c r="D30">
        <v>-1.7000000000000015E-2</v>
      </c>
      <c r="E30">
        <v>3.1843366656181343E-2</v>
      </c>
      <c r="F30">
        <v>-4.2394014962593554</v>
      </c>
      <c r="G30">
        <v>7.9409891910676667</v>
      </c>
      <c r="H30" t="s">
        <v>53</v>
      </c>
      <c r="I30" t="s">
        <v>53</v>
      </c>
      <c r="J30" t="s">
        <v>53</v>
      </c>
    </row>
    <row r="31" spans="1:10">
      <c r="A31" t="s">
        <v>84</v>
      </c>
      <c r="B31">
        <v>5</v>
      </c>
      <c r="C31" t="s">
        <v>31</v>
      </c>
      <c r="D31">
        <v>-1.3666666666666679E-2</v>
      </c>
      <c r="E31">
        <v>2.97694847490215E-2</v>
      </c>
      <c r="F31">
        <v>-3.408146300914384</v>
      </c>
      <c r="G31">
        <v>7.4238116581100995</v>
      </c>
      <c r="H31" t="s">
        <v>53</v>
      </c>
      <c r="I31" t="s">
        <v>53</v>
      </c>
      <c r="J31" t="s">
        <v>53</v>
      </c>
    </row>
    <row r="32" spans="1:10">
      <c r="A32" t="s">
        <v>85</v>
      </c>
      <c r="B32">
        <v>6</v>
      </c>
      <c r="C32" t="s">
        <v>32</v>
      </c>
      <c r="D32">
        <v>-6.3333333333333392E-3</v>
      </c>
      <c r="E32">
        <v>3.9347455092066941E-2</v>
      </c>
      <c r="F32">
        <v>-1.5793848711554461</v>
      </c>
      <c r="G32">
        <v>9.8123329406650726</v>
      </c>
      <c r="H32" t="s">
        <v>53</v>
      </c>
      <c r="I32" t="s">
        <v>53</v>
      </c>
      <c r="J32" t="s">
        <v>53</v>
      </c>
    </row>
    <row r="33" spans="1:10">
      <c r="A33" t="s">
        <v>86</v>
      </c>
      <c r="B33">
        <v>7</v>
      </c>
      <c r="C33" t="s">
        <v>33</v>
      </c>
      <c r="D33">
        <v>0.45833333333333326</v>
      </c>
      <c r="E33">
        <v>0.1275208044028722</v>
      </c>
      <c r="F33">
        <v>114.29758935993348</v>
      </c>
      <c r="G33">
        <v>31.800699352337205</v>
      </c>
      <c r="H33">
        <v>54.1</v>
      </c>
      <c r="I33">
        <v>0.2</v>
      </c>
      <c r="J33">
        <f t="shared" si="0"/>
        <v>-4.3999999999999986</v>
      </c>
    </row>
    <row r="34" spans="1:10">
      <c r="A34" t="s">
        <v>87</v>
      </c>
      <c r="B34">
        <v>8</v>
      </c>
      <c r="C34" t="s">
        <v>34</v>
      </c>
      <c r="D34">
        <v>0.5179999999999999</v>
      </c>
      <c r="E34">
        <v>4.0323690307311887E-2</v>
      </c>
      <c r="F34">
        <v>129.17705735660846</v>
      </c>
      <c r="G34">
        <v>10.055783119030394</v>
      </c>
      <c r="H34">
        <v>53.8</v>
      </c>
      <c r="I34">
        <v>1.1000000000000001</v>
      </c>
      <c r="J34">
        <f t="shared" si="0"/>
        <v>-4.7000000000000028</v>
      </c>
    </row>
    <row r="35" spans="1:10">
      <c r="A35" t="s">
        <v>88</v>
      </c>
      <c r="B35">
        <v>9</v>
      </c>
      <c r="C35" t="s">
        <v>35</v>
      </c>
      <c r="D35">
        <v>0.5106666666666666</v>
      </c>
      <c r="E35">
        <v>5.0690783733885539E-2</v>
      </c>
      <c r="F35">
        <v>127.34829592684953</v>
      </c>
      <c r="G35">
        <v>12.641093200470209</v>
      </c>
      <c r="H35">
        <v>54</v>
      </c>
      <c r="I35">
        <v>0.7</v>
      </c>
      <c r="J35">
        <f t="shared" si="0"/>
        <v>-4.5</v>
      </c>
    </row>
    <row r="36" spans="1:10">
      <c r="A36" t="s">
        <v>89</v>
      </c>
      <c r="B36">
        <v>10</v>
      </c>
      <c r="C36" t="s">
        <v>36</v>
      </c>
      <c r="D36">
        <v>1.0000000000000009E-3</v>
      </c>
      <c r="E36">
        <v>3.1968734726291588E-2</v>
      </c>
      <c r="F36">
        <v>0.24937655860349148</v>
      </c>
      <c r="G36">
        <v>7.9722530489505203</v>
      </c>
      <c r="H36" t="s">
        <v>53</v>
      </c>
      <c r="I36" t="s">
        <v>53</v>
      </c>
      <c r="J36" t="s">
        <v>53</v>
      </c>
    </row>
    <row r="37" spans="1:10">
      <c r="A37" t="s">
        <v>90</v>
      </c>
      <c r="B37">
        <v>11</v>
      </c>
      <c r="C37" t="s">
        <v>37</v>
      </c>
      <c r="D37">
        <v>0.49933333333333324</v>
      </c>
      <c r="E37">
        <v>4.5257289161219356E-2</v>
      </c>
      <c r="F37">
        <v>124.52202826267661</v>
      </c>
      <c r="G37">
        <v>11.286107022747968</v>
      </c>
      <c r="H37">
        <v>61.9</v>
      </c>
      <c r="I37">
        <v>3.4</v>
      </c>
      <c r="J37">
        <f t="shared" si="0"/>
        <v>3.3999999999999986</v>
      </c>
    </row>
    <row r="38" spans="1:10">
      <c r="A38" t="s">
        <v>102</v>
      </c>
      <c r="B38">
        <v>12</v>
      </c>
      <c r="C38" t="s">
        <v>26</v>
      </c>
      <c r="D38">
        <v>0.51633333333333331</v>
      </c>
      <c r="E38">
        <v>3.7791827452800193E-2</v>
      </c>
      <c r="F38">
        <v>128.76142975893598</v>
      </c>
      <c r="G38">
        <v>9.4243958735162572</v>
      </c>
      <c r="H38">
        <v>56.6</v>
      </c>
      <c r="I38">
        <v>1.4</v>
      </c>
      <c r="J38">
        <f t="shared" si="0"/>
        <v>-1.8999999999999986</v>
      </c>
    </row>
    <row r="39" spans="1:10">
      <c r="A39" t="s">
        <v>91</v>
      </c>
      <c r="B39">
        <v>1</v>
      </c>
      <c r="C39" t="s">
        <v>39</v>
      </c>
      <c r="D39">
        <v>0.51233333333333331</v>
      </c>
      <c r="E39">
        <v>5.185449728701301E-2</v>
      </c>
      <c r="F39">
        <v>127.76392352452203</v>
      </c>
      <c r="G39">
        <v>12.931296081549378</v>
      </c>
      <c r="H39">
        <v>46.7</v>
      </c>
      <c r="I39">
        <v>2.8</v>
      </c>
      <c r="J39">
        <f t="shared" si="0"/>
        <v>-11.799999999999997</v>
      </c>
    </row>
    <row r="40" spans="1:10">
      <c r="A40" t="s">
        <v>92</v>
      </c>
      <c r="B40">
        <v>2</v>
      </c>
      <c r="C40" t="s">
        <v>38</v>
      </c>
      <c r="D40">
        <v>0.47499999999999992</v>
      </c>
      <c r="E40">
        <v>0.10535970134100917</v>
      </c>
      <c r="F40">
        <v>118.45386533665832</v>
      </c>
      <c r="G40">
        <v>26.274239735912506</v>
      </c>
      <c r="H40">
        <v>46.2</v>
      </c>
      <c r="I40">
        <v>1.5</v>
      </c>
      <c r="J40">
        <f t="shared" si="0"/>
        <v>-12.299999999999997</v>
      </c>
    </row>
    <row r="41" spans="1:10">
      <c r="A41" t="s">
        <v>93</v>
      </c>
      <c r="B41">
        <v>3</v>
      </c>
      <c r="C41" t="s">
        <v>40</v>
      </c>
      <c r="D41">
        <v>0.53300000000000003</v>
      </c>
      <c r="E41">
        <v>2.0510160083886845E-2</v>
      </c>
      <c r="F41">
        <v>132.91770573566086</v>
      </c>
      <c r="G41">
        <v>5.1147531381263951</v>
      </c>
      <c r="H41">
        <v>47.2</v>
      </c>
      <c r="I41">
        <v>1.1000000000000001</v>
      </c>
      <c r="J41">
        <f t="shared" si="0"/>
        <v>-11.299999999999997</v>
      </c>
    </row>
    <row r="42" spans="1:10">
      <c r="A42" t="s">
        <v>94</v>
      </c>
      <c r="B42">
        <v>4</v>
      </c>
      <c r="C42" t="s">
        <v>41</v>
      </c>
      <c r="D42">
        <v>0.53633333333333333</v>
      </c>
      <c r="E42">
        <v>1.6499158227686123E-2</v>
      </c>
      <c r="F42">
        <v>133.7489609310058</v>
      </c>
      <c r="G42">
        <v>4.114503298674844</v>
      </c>
      <c r="H42">
        <v>53.7</v>
      </c>
      <c r="I42">
        <v>0.3</v>
      </c>
      <c r="J42">
        <f t="shared" si="0"/>
        <v>-4.7999999999999972</v>
      </c>
    </row>
    <row r="43" spans="1:10">
      <c r="A43" t="s">
        <v>95</v>
      </c>
      <c r="B43">
        <v>5</v>
      </c>
      <c r="C43" t="s">
        <v>42</v>
      </c>
      <c r="D43">
        <v>3.3333333333333361E-3</v>
      </c>
      <c r="E43">
        <v>3.5036488915922467E-2</v>
      </c>
      <c r="F43">
        <v>0.8312551953449715</v>
      </c>
      <c r="G43">
        <v>8.737279031402112</v>
      </c>
      <c r="H43" t="s">
        <v>53</v>
      </c>
      <c r="I43" t="s">
        <v>53</v>
      </c>
      <c r="J43" t="s">
        <v>53</v>
      </c>
    </row>
    <row r="44" spans="1:10">
      <c r="A44" t="s">
        <v>96</v>
      </c>
      <c r="B44">
        <v>6</v>
      </c>
      <c r="C44" t="s">
        <v>43</v>
      </c>
      <c r="D44">
        <v>-1.6666666666666681E-3</v>
      </c>
      <c r="E44">
        <v>4.409333534925914E-2</v>
      </c>
      <c r="F44">
        <v>-0.41562759767248575</v>
      </c>
      <c r="G44">
        <v>10.995844226747916</v>
      </c>
      <c r="H44" t="s">
        <v>53</v>
      </c>
      <c r="I44" t="s">
        <v>53</v>
      </c>
      <c r="J44" t="s">
        <v>53</v>
      </c>
    </row>
    <row r="45" spans="1:10">
      <c r="A45" t="s">
        <v>97</v>
      </c>
      <c r="B45">
        <v>7</v>
      </c>
      <c r="C45" t="s">
        <v>44</v>
      </c>
      <c r="D45">
        <v>-5.6666666666666714E-3</v>
      </c>
      <c r="E45">
        <v>3.2148958856478657E-2</v>
      </c>
      <c r="F45">
        <v>-1.4131338320864515</v>
      </c>
      <c r="G45">
        <v>8.0171967223138783</v>
      </c>
      <c r="H45" t="s">
        <v>53</v>
      </c>
      <c r="I45" t="s">
        <v>53</v>
      </c>
      <c r="J45" t="s">
        <v>53</v>
      </c>
    </row>
    <row r="46" spans="1:10">
      <c r="A46" t="s">
        <v>98</v>
      </c>
      <c r="B46">
        <v>8</v>
      </c>
      <c r="C46" t="s">
        <v>45</v>
      </c>
      <c r="D46">
        <v>0.49899999999999994</v>
      </c>
      <c r="E46">
        <v>7.0753091805234855E-2</v>
      </c>
      <c r="F46">
        <v>124.43890274314212</v>
      </c>
      <c r="G46">
        <v>17.644162544946347</v>
      </c>
      <c r="H46">
        <v>55.1</v>
      </c>
      <c r="I46">
        <v>0.3</v>
      </c>
      <c r="J46">
        <f t="shared" si="0"/>
        <v>-3.3999999999999986</v>
      </c>
    </row>
    <row r="47" spans="1:10">
      <c r="A47" t="s">
        <v>99</v>
      </c>
      <c r="B47">
        <v>9</v>
      </c>
      <c r="C47" t="s">
        <v>46</v>
      </c>
      <c r="D47">
        <v>0.53266666666666662</v>
      </c>
      <c r="E47">
        <v>2.1746008573733419E-2</v>
      </c>
      <c r="F47">
        <v>132.83458021612634</v>
      </c>
      <c r="G47">
        <v>5.4229447814796554</v>
      </c>
      <c r="H47">
        <v>54.7</v>
      </c>
      <c r="I47">
        <v>0.5</v>
      </c>
      <c r="J47">
        <f t="shared" si="0"/>
        <v>-3.7999999999999972</v>
      </c>
    </row>
    <row r="48" spans="1:10">
      <c r="A48" t="s">
        <v>100</v>
      </c>
      <c r="B48">
        <v>10</v>
      </c>
      <c r="C48" t="s">
        <v>47</v>
      </c>
      <c r="D48">
        <v>-1.5333333333333346E-2</v>
      </c>
      <c r="E48">
        <v>3.8308687729489747E-2</v>
      </c>
      <c r="F48">
        <v>-3.823773898586869</v>
      </c>
      <c r="G48">
        <v>9.5532887105959468</v>
      </c>
      <c r="H48" t="s">
        <v>53</v>
      </c>
      <c r="I48" t="s">
        <v>53</v>
      </c>
      <c r="J48" t="s">
        <v>53</v>
      </c>
    </row>
    <row r="49" spans="1:10">
      <c r="A49" t="s">
        <v>101</v>
      </c>
      <c r="B49">
        <v>11</v>
      </c>
      <c r="C49" t="s">
        <v>48</v>
      </c>
      <c r="D49">
        <v>0.51100000000000001</v>
      </c>
      <c r="E49">
        <v>5.2325901807804102E-2</v>
      </c>
      <c r="F49">
        <v>127.43142144638404</v>
      </c>
      <c r="G49">
        <v>13.048853318654389</v>
      </c>
      <c r="H49">
        <v>53.7</v>
      </c>
      <c r="I49">
        <v>0.4</v>
      </c>
      <c r="J49">
        <f t="shared" si="0"/>
        <v>-4.7999999999999972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Kozome</dc:creator>
  <cp:lastModifiedBy>Dan Kozome</cp:lastModifiedBy>
  <dcterms:created xsi:type="dcterms:W3CDTF">2025-02-05T01:43:23Z</dcterms:created>
  <dcterms:modified xsi:type="dcterms:W3CDTF">2025-02-05T02:38:34Z</dcterms:modified>
</cp:coreProperties>
</file>