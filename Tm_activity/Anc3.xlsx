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ba24/Desktop/AFP/"/>
    </mc:Choice>
  </mc:AlternateContent>
  <xr:revisionPtr revIDLastSave="0" documentId="13_ncr:1_{ED9952FD-3FA8-BB49-8A7F-1C58B29B6FA9}" xr6:coauthVersionLast="47" xr6:coauthVersionMax="47" xr10:uidLastSave="{00000000-0000-0000-0000-000000000000}"/>
  <bookViews>
    <workbookView xWindow="-19340" yWindow="2240" windowWidth="27900" windowHeight="16400" xr2:uid="{43C85DD7-D0A2-CD42-9A51-72C979E0E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J6" i="1"/>
  <c r="J25" i="1"/>
  <c r="J26" i="1"/>
  <c r="J27" i="1"/>
  <c r="J28" i="1"/>
  <c r="J29" i="1"/>
  <c r="J30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3" i="1"/>
  <c r="J4" i="1"/>
  <c r="J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</calcChain>
</file>

<file path=xl/sharedStrings.xml><?xml version="1.0" encoding="utf-8"?>
<sst xmlns="http://schemas.openxmlformats.org/spreadsheetml/2006/main" count="112" uniqueCount="103">
  <si>
    <t>name</t>
    <phoneticPr fontId="1"/>
  </si>
  <si>
    <t>Anc3_LC_1000000</t>
    <phoneticPr fontId="1"/>
  </si>
  <si>
    <t>Anc3_LC_1100000</t>
    <phoneticPr fontId="1"/>
  </si>
  <si>
    <t>Anc3_LC_1110000</t>
    <phoneticPr fontId="1"/>
  </si>
  <si>
    <t>Anc3_LC_1111000</t>
    <phoneticPr fontId="1"/>
  </si>
  <si>
    <t>Anc3_LC_1111100</t>
    <phoneticPr fontId="1"/>
  </si>
  <si>
    <t>Anc3_LC_1111110</t>
    <phoneticPr fontId="1"/>
  </si>
  <si>
    <t>Anc3_LC_0000000</t>
    <phoneticPr fontId="1"/>
  </si>
  <si>
    <t>Anc3_LC_0000001</t>
  </si>
  <si>
    <t>Anc3_LC_0000011</t>
    <phoneticPr fontId="1"/>
  </si>
  <si>
    <t>Anc3_LC_0000111</t>
    <phoneticPr fontId="1"/>
  </si>
  <si>
    <t>Anc3_LC_0001111</t>
    <phoneticPr fontId="1"/>
  </si>
  <si>
    <t>Anc3_LC_0011111</t>
    <phoneticPr fontId="1"/>
  </si>
  <si>
    <t>Anc3_LC_0111111</t>
    <phoneticPr fontId="1"/>
  </si>
  <si>
    <t>loop length</t>
    <phoneticPr fontId="1"/>
  </si>
  <si>
    <t>loop seq</t>
    <phoneticPr fontId="1"/>
  </si>
  <si>
    <t>ANMRPFG</t>
    <phoneticPr fontId="1"/>
  </si>
  <si>
    <t>A</t>
    <phoneticPr fontId="1"/>
  </si>
  <si>
    <t>AN</t>
    <phoneticPr fontId="1"/>
  </si>
  <si>
    <t>ANM</t>
    <phoneticPr fontId="1"/>
  </si>
  <si>
    <t>ANMR</t>
    <phoneticPr fontId="1"/>
  </si>
  <si>
    <t>ANMRP</t>
    <phoneticPr fontId="1"/>
  </si>
  <si>
    <t>ANMRPF</t>
    <phoneticPr fontId="1"/>
  </si>
  <si>
    <t>-</t>
    <phoneticPr fontId="1"/>
  </si>
  <si>
    <t>G</t>
    <phoneticPr fontId="1"/>
  </si>
  <si>
    <t>FG</t>
    <phoneticPr fontId="1"/>
  </si>
  <si>
    <t>PFG</t>
    <phoneticPr fontId="1"/>
  </si>
  <si>
    <t>RPFG</t>
    <phoneticPr fontId="1"/>
  </si>
  <si>
    <t>MRPFG</t>
    <phoneticPr fontId="1"/>
  </si>
  <si>
    <t>NMRPFG</t>
    <phoneticPr fontId="1"/>
  </si>
  <si>
    <t>Anc3_LIV_10000</t>
    <phoneticPr fontId="1"/>
  </si>
  <si>
    <t>Anc3_LIV_11000</t>
    <phoneticPr fontId="1"/>
  </si>
  <si>
    <t>Anc3_LIV_11100</t>
    <phoneticPr fontId="1"/>
  </si>
  <si>
    <t>Anc3_LIV_11110</t>
    <phoneticPr fontId="1"/>
  </si>
  <si>
    <t>Anc3_LIV_00000</t>
    <phoneticPr fontId="1"/>
  </si>
  <si>
    <t>Anc3_LIV_00001</t>
  </si>
  <si>
    <t>Anc3_LIV_00011</t>
    <phoneticPr fontId="1"/>
  </si>
  <si>
    <t>Anc3_LIV_00111</t>
    <phoneticPr fontId="1"/>
  </si>
  <si>
    <t>Anc3_LIV_01111</t>
    <phoneticPr fontId="1"/>
  </si>
  <si>
    <t>Anc3_LIV_wt</t>
    <phoneticPr fontId="1"/>
  </si>
  <si>
    <t>Anc3_LC_wt</t>
    <phoneticPr fontId="1"/>
  </si>
  <si>
    <t>SSPKP</t>
    <phoneticPr fontId="1"/>
  </si>
  <si>
    <t>S</t>
    <phoneticPr fontId="1"/>
  </si>
  <si>
    <t>SS</t>
    <phoneticPr fontId="1"/>
  </si>
  <si>
    <t>SSP</t>
    <phoneticPr fontId="1"/>
  </si>
  <si>
    <t>SSPK</t>
    <phoneticPr fontId="1"/>
  </si>
  <si>
    <t>P</t>
    <phoneticPr fontId="1"/>
  </si>
  <si>
    <t>KP</t>
    <phoneticPr fontId="1"/>
  </si>
  <si>
    <t>PKP</t>
    <phoneticPr fontId="1"/>
  </si>
  <si>
    <t>SPKP</t>
    <phoneticPr fontId="1"/>
  </si>
  <si>
    <t>Anc3_LV_wt</t>
    <phoneticPr fontId="1"/>
  </si>
  <si>
    <t>WTPSSADLAANR</t>
    <phoneticPr fontId="1"/>
  </si>
  <si>
    <t>Anc3_LV_100000000000</t>
    <phoneticPr fontId="1"/>
  </si>
  <si>
    <t>Anc3_LV_110000000000</t>
    <phoneticPr fontId="1"/>
  </si>
  <si>
    <t>Anc3_LV_111000000000</t>
    <phoneticPr fontId="1"/>
  </si>
  <si>
    <t>Anc3_LV_111100000000</t>
    <phoneticPr fontId="1"/>
  </si>
  <si>
    <t>Anc3_LV_111110000000</t>
    <phoneticPr fontId="1"/>
  </si>
  <si>
    <t>Anc3_LV_111111000000</t>
    <phoneticPr fontId="1"/>
  </si>
  <si>
    <t>Anc3_LV_111111100000</t>
    <phoneticPr fontId="1"/>
  </si>
  <si>
    <t>Anc3_LV_111111110000</t>
    <phoneticPr fontId="1"/>
  </si>
  <si>
    <t>Anc3_LV_111111111000</t>
    <phoneticPr fontId="1"/>
  </si>
  <si>
    <t>Anc3_LV_111111111100</t>
    <phoneticPr fontId="1"/>
  </si>
  <si>
    <t>Anc3_LV_111111111110</t>
    <phoneticPr fontId="1"/>
  </si>
  <si>
    <t>Anc3_LV_000000000000</t>
    <phoneticPr fontId="1"/>
  </si>
  <si>
    <t>Anc3_LV_000000000001</t>
  </si>
  <si>
    <t>Anc3_LV_000000000011</t>
    <phoneticPr fontId="1"/>
  </si>
  <si>
    <t>Anc3_LV_000000000111</t>
    <phoneticPr fontId="1"/>
  </si>
  <si>
    <t>Anc3_LV_000000001111</t>
    <phoneticPr fontId="1"/>
  </si>
  <si>
    <t>Anc3_LV_000000011111</t>
    <phoneticPr fontId="1"/>
  </si>
  <si>
    <t>Anc3_LV_000000111111</t>
    <phoneticPr fontId="1"/>
  </si>
  <si>
    <t>Anc3_LV_000001111111</t>
    <phoneticPr fontId="1"/>
  </si>
  <si>
    <t>Anc3_LV_000011111111</t>
    <phoneticPr fontId="1"/>
  </si>
  <si>
    <t>Anc3_LV_000111111111</t>
    <phoneticPr fontId="1"/>
  </si>
  <si>
    <t>Anc3_LV_001111111111</t>
    <phoneticPr fontId="1"/>
  </si>
  <si>
    <t>Anc3_LV_011111111111</t>
    <phoneticPr fontId="1"/>
  </si>
  <si>
    <t>W</t>
    <phoneticPr fontId="1"/>
  </si>
  <si>
    <t>WT</t>
    <phoneticPr fontId="1"/>
  </si>
  <si>
    <t>WTP</t>
    <phoneticPr fontId="1"/>
  </si>
  <si>
    <t>WTPS</t>
    <phoneticPr fontId="1"/>
  </si>
  <si>
    <t>WTPSS</t>
    <phoneticPr fontId="1"/>
  </si>
  <si>
    <t>WTPSSA</t>
    <phoneticPr fontId="1"/>
  </si>
  <si>
    <t>WTPSSAD</t>
    <phoneticPr fontId="1"/>
  </si>
  <si>
    <t>WTPSSADL</t>
    <phoneticPr fontId="1"/>
  </si>
  <si>
    <t>WTPSSADLA</t>
    <phoneticPr fontId="1"/>
  </si>
  <si>
    <t>WTPSSADLAA</t>
    <phoneticPr fontId="1"/>
  </si>
  <si>
    <t>WTPSSADLAAN</t>
    <phoneticPr fontId="1"/>
  </si>
  <si>
    <t>NR</t>
    <phoneticPr fontId="1"/>
  </si>
  <si>
    <t>R</t>
    <phoneticPr fontId="1"/>
  </si>
  <si>
    <t>ANR</t>
    <phoneticPr fontId="1"/>
  </si>
  <si>
    <t>AANR</t>
    <phoneticPr fontId="1"/>
  </si>
  <si>
    <t>LAANR</t>
    <phoneticPr fontId="1"/>
  </si>
  <si>
    <t>DLAANR</t>
    <phoneticPr fontId="1"/>
  </si>
  <si>
    <t>ADLAANR</t>
    <phoneticPr fontId="1"/>
  </si>
  <si>
    <t>SADLAANR</t>
    <phoneticPr fontId="1"/>
  </si>
  <si>
    <t>SSADLAANR</t>
    <phoneticPr fontId="1"/>
  </si>
  <si>
    <t>PSSADLAANR</t>
    <phoneticPr fontId="1"/>
  </si>
  <si>
    <t>TPSSADLAANR</t>
    <phoneticPr fontId="1"/>
  </si>
  <si>
    <t>chitinase (lysate)</t>
    <phoneticPr fontId="1"/>
  </si>
  <si>
    <t>sd</t>
    <phoneticPr fontId="1"/>
  </si>
  <si>
    <t>Chitinase(%)</t>
    <phoneticPr fontId="1"/>
  </si>
  <si>
    <t>Tm</t>
    <phoneticPr fontId="1"/>
  </si>
  <si>
    <t>n. d.</t>
  </si>
  <si>
    <t>del Tm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</si>
</sst>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B912D-7839-C44D-BD5D-26E15D7666A8}">
  <dimension ref="A1:J49"/>
  <sheetViews>
    <sheetView tabSelected="1" workbookViewId="0">
      <selection activeCell="B4" sqref="B4"/>
    </sheetView>
  </sheetViews>
  <sheetFormatPr baseColWidth="10" defaultRowHeight="20"/>
  <cols>
    <col min="1" max="1" width="22.42578125" customWidth="1"/>
    <col min="3" max="3" width="14.7109375" customWidth="1"/>
    <col min="4" max="4" width="14.5703125" customWidth="1"/>
  </cols>
  <sheetData>
    <row r="1" spans="1:10">
      <c r="A1" t="s">
        <v>0</v>
      </c>
      <c r="B1" t="s">
        <v>14</v>
      </c>
      <c r="C1" t="s">
        <v>15</v>
      </c>
      <c r="D1" t="s">
        <v>97</v>
      </c>
      <c r="E1" t="s">
        <v>98</v>
      </c>
      <c r="F1" t="s">
        <v>99</v>
      </c>
      <c r="G1" t="s">
        <v>98</v>
      </c>
      <c r="H1" t="s">
        <v>100</v>
      </c>
      <c r="I1" t="s">
        <v>98</v>
      </c>
      <c r="J1" t="s">
        <v>102</v>
      </c>
    </row>
    <row r="2" spans="1:10">
      <c r="A2" t="s">
        <v>40</v>
      </c>
      <c r="B2">
        <v>7</v>
      </c>
      <c r="C2" t="s">
        <v>16</v>
      </c>
      <c r="D2">
        <v>0.46400000000000002</v>
      </c>
      <c r="F2">
        <v>100</v>
      </c>
      <c r="H2">
        <v>55.4</v>
      </c>
      <c r="I2">
        <v>3.4</v>
      </c>
      <c r="J2">
        <f>H2-$H$2</f>
        <v>0</v>
      </c>
    </row>
    <row r="3" spans="1:10">
      <c r="A3" t="s">
        <v>1</v>
      </c>
      <c r="B3">
        <v>1</v>
      </c>
      <c r="C3" t="s">
        <v>17</v>
      </c>
      <c r="D3">
        <v>0.54049999999999998</v>
      </c>
      <c r="E3">
        <v>7.7781745930520299E-3</v>
      </c>
      <c r="F3">
        <v>116.48706896551722</v>
      </c>
      <c r="G3">
        <v>1.6763307312612132</v>
      </c>
      <c r="H3">
        <v>54</v>
      </c>
      <c r="I3">
        <v>0.1</v>
      </c>
      <c r="J3">
        <f t="shared" ref="J3:J49" si="0">H3-$H$2</f>
        <v>-1.3999999999999986</v>
      </c>
    </row>
    <row r="4" spans="1:10">
      <c r="A4" t="s">
        <v>2</v>
      </c>
      <c r="B4">
        <v>2</v>
      </c>
      <c r="C4" t="s">
        <v>18</v>
      </c>
      <c r="D4">
        <v>0.3105</v>
      </c>
      <c r="E4">
        <v>1.7677669529663664E-2</v>
      </c>
      <c r="F4">
        <v>66.918103448275858</v>
      </c>
      <c r="G4">
        <v>3.8098425710482031</v>
      </c>
      <c r="H4">
        <v>59</v>
      </c>
      <c r="I4">
        <v>0.1</v>
      </c>
      <c r="J4">
        <f t="shared" si="0"/>
        <v>3.6000000000000014</v>
      </c>
    </row>
    <row r="5" spans="1:10">
      <c r="A5" t="s">
        <v>3</v>
      </c>
      <c r="B5">
        <v>3</v>
      </c>
      <c r="C5" t="s">
        <v>19</v>
      </c>
      <c r="D5">
        <v>0.42749999999999999</v>
      </c>
      <c r="E5">
        <v>6.2932503525602548E-2</v>
      </c>
      <c r="F5">
        <v>92.133620689655174</v>
      </c>
      <c r="G5">
        <v>13.563039552931583</v>
      </c>
      <c r="H5">
        <v>60</v>
      </c>
      <c r="I5">
        <v>0.8</v>
      </c>
      <c r="J5">
        <f t="shared" si="0"/>
        <v>4.6000000000000014</v>
      </c>
    </row>
    <row r="6" spans="1:10">
      <c r="A6" t="s">
        <v>4</v>
      </c>
      <c r="B6">
        <v>4</v>
      </c>
      <c r="C6" t="s">
        <v>20</v>
      </c>
      <c r="D6">
        <v>0.48099999999999998</v>
      </c>
      <c r="E6">
        <v>3.2526911934581217E-2</v>
      </c>
      <c r="F6">
        <v>103.663793103448</v>
      </c>
      <c r="G6">
        <v>7.0101103307287103</v>
      </c>
      <c r="H6">
        <v>59.8</v>
      </c>
      <c r="I6">
        <v>1.3</v>
      </c>
      <c r="J6">
        <f t="shared" si="0"/>
        <v>4.3999999999999986</v>
      </c>
    </row>
    <row r="7" spans="1:10">
      <c r="A7" t="s">
        <v>5</v>
      </c>
      <c r="B7">
        <v>5</v>
      </c>
      <c r="C7" t="s">
        <v>21</v>
      </c>
      <c r="D7">
        <v>0.48549999999999993</v>
      </c>
      <c r="E7">
        <v>4.4547727214752454E-2</v>
      </c>
      <c r="F7">
        <v>104.63362068965515</v>
      </c>
      <c r="G7">
        <v>9.6008032790414752</v>
      </c>
      <c r="H7">
        <v>59.2</v>
      </c>
      <c r="I7">
        <v>1.9</v>
      </c>
      <c r="J7">
        <f t="shared" si="0"/>
        <v>3.8000000000000043</v>
      </c>
    </row>
    <row r="8" spans="1:10">
      <c r="A8" t="s">
        <v>6</v>
      </c>
      <c r="B8">
        <v>6</v>
      </c>
      <c r="C8" t="s">
        <v>22</v>
      </c>
      <c r="D8">
        <v>0.40249999999999997</v>
      </c>
      <c r="E8">
        <v>4.1719300090006302E-2</v>
      </c>
      <c r="F8">
        <v>86.745689655172413</v>
      </c>
      <c r="G8">
        <v>8.9912284676737713</v>
      </c>
      <c r="H8">
        <v>59.3</v>
      </c>
      <c r="I8">
        <v>1.8</v>
      </c>
      <c r="J8">
        <f t="shared" si="0"/>
        <v>3.8999999999999986</v>
      </c>
    </row>
    <row r="9" spans="1:10">
      <c r="A9" t="s">
        <v>7</v>
      </c>
      <c r="B9">
        <v>0</v>
      </c>
      <c r="C9" t="s">
        <v>23</v>
      </c>
      <c r="D9">
        <v>0.41999999999999993</v>
      </c>
      <c r="E9">
        <v>1.4142135623730925E-2</v>
      </c>
      <c r="F9">
        <v>90.51724137931032</v>
      </c>
      <c r="G9">
        <v>3.0478740568385612</v>
      </c>
      <c r="H9">
        <v>59.5</v>
      </c>
      <c r="I9">
        <v>2</v>
      </c>
      <c r="J9">
        <f t="shared" si="0"/>
        <v>4.1000000000000014</v>
      </c>
    </row>
    <row r="10" spans="1:10">
      <c r="A10" t="s">
        <v>8</v>
      </c>
      <c r="B10">
        <v>1</v>
      </c>
      <c r="C10" t="s">
        <v>24</v>
      </c>
      <c r="D10">
        <v>0.379</v>
      </c>
      <c r="E10">
        <v>4.3840620433565951E-2</v>
      </c>
      <c r="F10">
        <v>81.681034482758619</v>
      </c>
      <c r="G10">
        <v>9.4484095761995572</v>
      </c>
      <c r="H10">
        <v>58.1</v>
      </c>
      <c r="I10">
        <v>0.5</v>
      </c>
      <c r="J10">
        <f t="shared" si="0"/>
        <v>2.7000000000000028</v>
      </c>
    </row>
    <row r="11" spans="1:10">
      <c r="A11" t="s">
        <v>9</v>
      </c>
      <c r="B11">
        <v>2</v>
      </c>
      <c r="C11" t="s">
        <v>25</v>
      </c>
      <c r="D11">
        <v>0.25800000000000001</v>
      </c>
      <c r="E11">
        <v>3.2526911934581175E-2</v>
      </c>
      <c r="F11">
        <v>55.603448275862071</v>
      </c>
      <c r="G11">
        <v>7.0101103307287014</v>
      </c>
      <c r="H11">
        <v>54.2</v>
      </c>
      <c r="I11">
        <v>1.9</v>
      </c>
      <c r="J11">
        <f t="shared" si="0"/>
        <v>-1.1999999999999957</v>
      </c>
    </row>
    <row r="12" spans="1:10">
      <c r="A12" t="s">
        <v>10</v>
      </c>
      <c r="B12">
        <v>3</v>
      </c>
      <c r="C12" t="s">
        <v>26</v>
      </c>
      <c r="D12">
        <v>0.18549999999999994</v>
      </c>
      <c r="E12">
        <v>3.0405591591021686E-2</v>
      </c>
      <c r="F12">
        <v>39.97844827586205</v>
      </c>
      <c r="G12">
        <v>6.55292922220295</v>
      </c>
      <c r="H12">
        <v>55.9</v>
      </c>
      <c r="I12">
        <v>2.2000000000000002</v>
      </c>
      <c r="J12">
        <f t="shared" si="0"/>
        <v>0.5</v>
      </c>
    </row>
    <row r="13" spans="1:10">
      <c r="A13" t="s">
        <v>11</v>
      </c>
      <c r="B13">
        <v>4</v>
      </c>
      <c r="C13" t="s">
        <v>27</v>
      </c>
      <c r="D13">
        <v>0.19949999999999996</v>
      </c>
      <c r="E13">
        <v>1.6263455967290608E-2</v>
      </c>
      <c r="F13">
        <v>42.995689655172406</v>
      </c>
      <c r="G13">
        <v>3.5050551653643551</v>
      </c>
      <c r="H13">
        <v>55.1</v>
      </c>
      <c r="I13">
        <v>1.7</v>
      </c>
      <c r="J13">
        <f t="shared" si="0"/>
        <v>-0.29999999999999716</v>
      </c>
    </row>
    <row r="14" spans="1:10">
      <c r="A14" t="s">
        <v>12</v>
      </c>
      <c r="B14">
        <v>5</v>
      </c>
      <c r="C14" t="s">
        <v>28</v>
      </c>
      <c r="D14">
        <v>0.14249999999999996</v>
      </c>
      <c r="E14">
        <v>1.6263455967290529E-2</v>
      </c>
      <c r="F14">
        <v>30.711206896551715</v>
      </c>
      <c r="G14">
        <v>3.5050551653643378</v>
      </c>
      <c r="H14">
        <v>59.27</v>
      </c>
      <c r="I14">
        <v>2.4</v>
      </c>
      <c r="J14">
        <f t="shared" si="0"/>
        <v>3.8700000000000045</v>
      </c>
    </row>
    <row r="15" spans="1:10">
      <c r="A15" t="s">
        <v>13</v>
      </c>
      <c r="B15">
        <v>6</v>
      </c>
      <c r="C15" t="s">
        <v>29</v>
      </c>
      <c r="D15">
        <v>0.47499999999999998</v>
      </c>
      <c r="E15">
        <v>4.3840620433565985E-2</v>
      </c>
      <c r="F15">
        <v>102.370689655172</v>
      </c>
      <c r="G15">
        <v>9.4484095761995643</v>
      </c>
      <c r="H15">
        <v>54.29</v>
      </c>
      <c r="I15">
        <v>2.7</v>
      </c>
      <c r="J15">
        <f t="shared" si="0"/>
        <v>-1.1099999999999994</v>
      </c>
    </row>
    <row r="16" spans="1:10">
      <c r="A16" t="s">
        <v>39</v>
      </c>
      <c r="B16">
        <v>5</v>
      </c>
      <c r="C16" t="s">
        <v>41</v>
      </c>
      <c r="F16">
        <v>100</v>
      </c>
      <c r="H16">
        <v>55.4</v>
      </c>
      <c r="I16">
        <v>3.4</v>
      </c>
      <c r="J16">
        <f t="shared" si="0"/>
        <v>0</v>
      </c>
    </row>
    <row r="17" spans="1:10">
      <c r="A17" t="s">
        <v>30</v>
      </c>
      <c r="B17">
        <v>1</v>
      </c>
      <c r="C17" t="s">
        <v>42</v>
      </c>
      <c r="D17">
        <v>0.20549999999999996</v>
      </c>
      <c r="E17">
        <v>3.3234018715767859E-2</v>
      </c>
      <c r="F17">
        <v>44.28879310344827</v>
      </c>
      <c r="G17">
        <v>7.1625040335706593</v>
      </c>
      <c r="H17">
        <v>55.3</v>
      </c>
      <c r="I17">
        <v>0.6</v>
      </c>
      <c r="J17">
        <f t="shared" si="0"/>
        <v>-0.10000000000000142</v>
      </c>
    </row>
    <row r="18" spans="1:10">
      <c r="A18" t="s">
        <v>31</v>
      </c>
      <c r="B18">
        <v>2</v>
      </c>
      <c r="C18" t="s">
        <v>43</v>
      </c>
      <c r="D18">
        <v>0.28249999999999997</v>
      </c>
      <c r="E18">
        <v>4.7376154339498502E-2</v>
      </c>
      <c r="F18">
        <v>60.88362068965516</v>
      </c>
      <c r="G18">
        <v>10.21037809040916</v>
      </c>
      <c r="H18">
        <v>59.7</v>
      </c>
      <c r="I18">
        <v>1.6</v>
      </c>
      <c r="J18">
        <f t="shared" si="0"/>
        <v>4.3000000000000043</v>
      </c>
    </row>
    <row r="19" spans="1:10">
      <c r="A19" t="s">
        <v>32</v>
      </c>
      <c r="B19">
        <v>3</v>
      </c>
      <c r="C19" t="s">
        <v>44</v>
      </c>
      <c r="D19">
        <v>0.17249999999999993</v>
      </c>
      <c r="E19">
        <v>2.0506096654409896E-2</v>
      </c>
      <c r="F19">
        <v>37.176724137931018</v>
      </c>
      <c r="G19">
        <v>4.4194173824159257</v>
      </c>
      <c r="H19">
        <v>58.2</v>
      </c>
      <c r="I19">
        <v>0.1</v>
      </c>
      <c r="J19">
        <f t="shared" si="0"/>
        <v>2.8000000000000043</v>
      </c>
    </row>
    <row r="20" spans="1:10">
      <c r="A20" t="s">
        <v>33</v>
      </c>
      <c r="B20">
        <v>4</v>
      </c>
      <c r="C20" t="s">
        <v>45</v>
      </c>
      <c r="D20">
        <v>0.19749999999999995</v>
      </c>
      <c r="E20">
        <v>1.7677669529663705E-2</v>
      </c>
      <c r="F20">
        <v>42.564655172413786</v>
      </c>
      <c r="G20">
        <v>3.809842571048212</v>
      </c>
      <c r="H20">
        <v>60</v>
      </c>
      <c r="I20">
        <v>0.4</v>
      </c>
      <c r="J20">
        <f t="shared" si="0"/>
        <v>4.6000000000000014</v>
      </c>
    </row>
    <row r="21" spans="1:10">
      <c r="A21" t="s">
        <v>34</v>
      </c>
      <c r="B21">
        <v>0</v>
      </c>
      <c r="C21" t="s">
        <v>23</v>
      </c>
      <c r="D21">
        <v>7.949999999999996E-2</v>
      </c>
      <c r="E21">
        <v>1.4849242404917504E-2</v>
      </c>
      <c r="F21">
        <v>17.133620689655164</v>
      </c>
      <c r="G21">
        <v>3.2002677596804965</v>
      </c>
      <c r="H21">
        <v>59.5</v>
      </c>
      <c r="I21">
        <v>2</v>
      </c>
      <c r="J21">
        <f t="shared" si="0"/>
        <v>4.1000000000000014</v>
      </c>
    </row>
    <row r="22" spans="1:10">
      <c r="A22" t="s">
        <v>35</v>
      </c>
      <c r="B22">
        <v>1</v>
      </c>
      <c r="C22" t="s">
        <v>46</v>
      </c>
      <c r="D22">
        <v>0.39</v>
      </c>
      <c r="E22">
        <v>3.8183766184073563E-2</v>
      </c>
      <c r="F22">
        <v>84.051724137931032</v>
      </c>
      <c r="G22">
        <v>8.2292599534641298</v>
      </c>
      <c r="H22">
        <v>56.7</v>
      </c>
      <c r="I22">
        <v>0.6</v>
      </c>
      <c r="J22">
        <f t="shared" si="0"/>
        <v>1.3000000000000043</v>
      </c>
    </row>
    <row r="23" spans="1:10">
      <c r="A23" t="s">
        <v>36</v>
      </c>
      <c r="B23">
        <v>2</v>
      </c>
      <c r="C23" t="s">
        <v>47</v>
      </c>
      <c r="D23">
        <v>1.7500000000000016E-2</v>
      </c>
      <c r="E23">
        <v>3.5355339059327407E-3</v>
      </c>
      <c r="F23">
        <v>3.7715517241379342</v>
      </c>
      <c r="G23">
        <v>0.76196851420964229</v>
      </c>
      <c r="H23" t="s">
        <v>101</v>
      </c>
      <c r="I23" t="s">
        <v>101</v>
      </c>
      <c r="J23" t="s">
        <v>101</v>
      </c>
    </row>
    <row r="24" spans="1:10">
      <c r="A24" t="s">
        <v>37</v>
      </c>
      <c r="B24">
        <v>3</v>
      </c>
      <c r="C24" t="s">
        <v>48</v>
      </c>
      <c r="D24">
        <v>8.0000000000000071E-3</v>
      </c>
      <c r="E24">
        <v>1.4142135623730961E-2</v>
      </c>
      <c r="F24">
        <v>1.7241379310344842</v>
      </c>
      <c r="G24">
        <v>3.0478740568385687</v>
      </c>
      <c r="H24" t="s">
        <v>101</v>
      </c>
      <c r="I24" t="s">
        <v>101</v>
      </c>
      <c r="J24" t="s">
        <v>101</v>
      </c>
    </row>
    <row r="25" spans="1:10">
      <c r="A25" t="s">
        <v>38</v>
      </c>
      <c r="B25">
        <v>4</v>
      </c>
      <c r="C25" t="s">
        <v>49</v>
      </c>
      <c r="D25">
        <v>0.27099999999999996</v>
      </c>
      <c r="E25">
        <v>7.919595949289332E-2</v>
      </c>
      <c r="F25">
        <v>58.405172413793096</v>
      </c>
      <c r="G25">
        <v>17.068094718295974</v>
      </c>
      <c r="H25">
        <v>56.7</v>
      </c>
      <c r="I25">
        <v>0.4</v>
      </c>
      <c r="J25">
        <f t="shared" si="0"/>
        <v>1.3000000000000043</v>
      </c>
    </row>
    <row r="26" spans="1:10">
      <c r="A26" t="s">
        <v>50</v>
      </c>
      <c r="B26">
        <v>12</v>
      </c>
      <c r="C26" t="s">
        <v>51</v>
      </c>
      <c r="F26">
        <v>100</v>
      </c>
      <c r="H26">
        <v>55.4</v>
      </c>
      <c r="I26">
        <v>3.4</v>
      </c>
      <c r="J26">
        <f t="shared" si="0"/>
        <v>0</v>
      </c>
    </row>
    <row r="27" spans="1:10">
      <c r="A27" t="s">
        <v>52</v>
      </c>
      <c r="B27">
        <v>1</v>
      </c>
      <c r="C27" t="s">
        <v>75</v>
      </c>
      <c r="D27">
        <v>0.45349999999999996</v>
      </c>
      <c r="E27">
        <v>1.0606601717798222E-2</v>
      </c>
      <c r="F27">
        <v>97.737068965517224</v>
      </c>
      <c r="G27">
        <v>2.2859055426289272</v>
      </c>
      <c r="H27">
        <v>56.9</v>
      </c>
      <c r="I27">
        <v>0.6</v>
      </c>
      <c r="J27">
        <f t="shared" si="0"/>
        <v>1.5</v>
      </c>
    </row>
    <row r="28" spans="1:10">
      <c r="A28" t="s">
        <v>53</v>
      </c>
      <c r="B28">
        <v>2</v>
      </c>
      <c r="C28" t="s">
        <v>76</v>
      </c>
      <c r="D28">
        <v>0.61949999999999994</v>
      </c>
      <c r="E28">
        <v>6.3639610306789338E-3</v>
      </c>
      <c r="F28">
        <v>133.51293103448273</v>
      </c>
      <c r="G28">
        <v>1.3715433255773564</v>
      </c>
      <c r="H28">
        <v>60</v>
      </c>
      <c r="I28">
        <v>2.2000000000000002</v>
      </c>
      <c r="J28">
        <f t="shared" si="0"/>
        <v>4.6000000000000014</v>
      </c>
    </row>
    <row r="29" spans="1:10">
      <c r="A29" t="s">
        <v>54</v>
      </c>
      <c r="B29">
        <v>3</v>
      </c>
      <c r="C29" t="s">
        <v>77</v>
      </c>
      <c r="D29">
        <v>0.27349999999999997</v>
      </c>
      <c r="E29">
        <v>1.6263455967290608E-2</v>
      </c>
      <c r="F29">
        <v>58.943965517241374</v>
      </c>
      <c r="G29">
        <v>3.5050551653643551</v>
      </c>
      <c r="H29">
        <v>59</v>
      </c>
      <c r="I29">
        <v>0.7</v>
      </c>
      <c r="J29">
        <f t="shared" si="0"/>
        <v>3.6000000000000014</v>
      </c>
    </row>
    <row r="30" spans="1:10">
      <c r="A30" t="s">
        <v>55</v>
      </c>
      <c r="B30">
        <v>4</v>
      </c>
      <c r="C30" t="s">
        <v>78</v>
      </c>
      <c r="D30">
        <v>0.40249999999999997</v>
      </c>
      <c r="E30">
        <v>3.8890872965260108E-2</v>
      </c>
      <c r="F30">
        <v>86.745689655172413</v>
      </c>
      <c r="G30">
        <v>8.3816536563060566</v>
      </c>
      <c r="H30">
        <v>57.9</v>
      </c>
      <c r="I30">
        <v>0.5</v>
      </c>
      <c r="J30">
        <f t="shared" si="0"/>
        <v>2.5</v>
      </c>
    </row>
    <row r="31" spans="1:10">
      <c r="A31" t="s">
        <v>56</v>
      </c>
      <c r="B31">
        <v>5</v>
      </c>
      <c r="C31" t="s">
        <v>79</v>
      </c>
      <c r="D31">
        <v>0.41799999999999993</v>
      </c>
      <c r="E31">
        <v>3.5355339059327369E-2</v>
      </c>
      <c r="F31">
        <v>90.086206896551701</v>
      </c>
      <c r="G31">
        <v>7.6196851420964151</v>
      </c>
      <c r="H31">
        <v>58.3</v>
      </c>
      <c r="I31">
        <v>0.3</v>
      </c>
      <c r="J31">
        <f>H31-$H$2</f>
        <v>2.8999999999999986</v>
      </c>
    </row>
    <row r="32" spans="1:10">
      <c r="A32" t="s">
        <v>57</v>
      </c>
      <c r="B32">
        <v>6</v>
      </c>
      <c r="C32" t="s">
        <v>80</v>
      </c>
      <c r="D32">
        <v>0.43299999999999994</v>
      </c>
      <c r="E32">
        <v>9.8994949366116355E-3</v>
      </c>
      <c r="F32">
        <v>93.318965517241367</v>
      </c>
      <c r="G32">
        <v>2.1335118397869905</v>
      </c>
      <c r="H32">
        <v>55.8</v>
      </c>
      <c r="I32">
        <v>0.2</v>
      </c>
      <c r="J32">
        <f t="shared" si="0"/>
        <v>0.39999999999999858</v>
      </c>
    </row>
    <row r="33" spans="1:10">
      <c r="A33" t="s">
        <v>58</v>
      </c>
      <c r="B33">
        <v>7</v>
      </c>
      <c r="C33" t="s">
        <v>81</v>
      </c>
      <c r="D33">
        <v>0.65199999999999991</v>
      </c>
      <c r="E33">
        <v>4.2426406871192103E-3</v>
      </c>
      <c r="F33">
        <v>140.51724137931032</v>
      </c>
      <c r="G33">
        <v>0.91436221705155385</v>
      </c>
      <c r="H33">
        <v>60.4</v>
      </c>
      <c r="I33">
        <v>2.5</v>
      </c>
      <c r="J33">
        <f t="shared" si="0"/>
        <v>5</v>
      </c>
    </row>
    <row r="34" spans="1:10">
      <c r="A34" t="s">
        <v>59</v>
      </c>
      <c r="B34">
        <v>8</v>
      </c>
      <c r="C34" t="s">
        <v>82</v>
      </c>
      <c r="D34">
        <v>0.60449999999999993</v>
      </c>
      <c r="E34">
        <v>6.1518289963229611E-2</v>
      </c>
      <c r="F34">
        <v>130.28017241379308</v>
      </c>
      <c r="G34">
        <v>13.258252147247759</v>
      </c>
      <c r="H34">
        <v>62.5</v>
      </c>
      <c r="I34">
        <v>0.6</v>
      </c>
      <c r="J34">
        <f t="shared" si="0"/>
        <v>7.1000000000000014</v>
      </c>
    </row>
    <row r="35" spans="1:10">
      <c r="A35" t="s">
        <v>60</v>
      </c>
      <c r="B35">
        <v>9</v>
      </c>
      <c r="C35" t="s">
        <v>83</v>
      </c>
      <c r="D35">
        <v>0.26749999999999996</v>
      </c>
      <c r="E35">
        <v>2.616295090390228E-2</v>
      </c>
      <c r="F35">
        <v>57.650862068965509</v>
      </c>
      <c r="G35">
        <v>5.6385670051513532</v>
      </c>
      <c r="H35">
        <v>61</v>
      </c>
      <c r="I35">
        <v>0.1</v>
      </c>
      <c r="J35">
        <f t="shared" si="0"/>
        <v>5.6000000000000014</v>
      </c>
    </row>
    <row r="36" spans="1:10">
      <c r="A36" t="s">
        <v>61</v>
      </c>
      <c r="B36">
        <v>10</v>
      </c>
      <c r="C36" t="s">
        <v>84</v>
      </c>
      <c r="D36">
        <v>0.29849999999999999</v>
      </c>
      <c r="E36">
        <v>6.1518289963229375E-2</v>
      </c>
      <c r="F36">
        <v>64.331896551724128</v>
      </c>
      <c r="G36">
        <v>13.258252147247708</v>
      </c>
      <c r="H36">
        <v>61.1</v>
      </c>
      <c r="I36">
        <v>0.6</v>
      </c>
      <c r="J36">
        <f t="shared" si="0"/>
        <v>5.7000000000000028</v>
      </c>
    </row>
    <row r="37" spans="1:10">
      <c r="A37" t="s">
        <v>62</v>
      </c>
      <c r="B37">
        <v>11</v>
      </c>
      <c r="C37" t="s">
        <v>85</v>
      </c>
      <c r="D37">
        <v>0.28649999999999998</v>
      </c>
      <c r="E37">
        <v>3.181980515339463E-2</v>
      </c>
      <c r="F37">
        <v>61.745689655172406</v>
      </c>
      <c r="G37">
        <v>6.8577166278867736</v>
      </c>
      <c r="H37">
        <v>60.7</v>
      </c>
      <c r="I37">
        <v>0.1</v>
      </c>
      <c r="J37">
        <f t="shared" si="0"/>
        <v>5.3000000000000043</v>
      </c>
    </row>
    <row r="38" spans="1:10">
      <c r="A38" t="s">
        <v>63</v>
      </c>
      <c r="B38">
        <v>0</v>
      </c>
      <c r="C38" t="s">
        <v>23</v>
      </c>
      <c r="D38">
        <v>0.29099999999999993</v>
      </c>
      <c r="E38">
        <v>4.9497474683058686E-2</v>
      </c>
      <c r="F38">
        <v>62.715517241379295</v>
      </c>
      <c r="G38">
        <v>10.667559198935061</v>
      </c>
      <c r="H38">
        <v>59.5</v>
      </c>
      <c r="I38">
        <v>2</v>
      </c>
      <c r="J38">
        <f t="shared" si="0"/>
        <v>4.1000000000000014</v>
      </c>
    </row>
    <row r="39" spans="1:10">
      <c r="A39" t="s">
        <v>64</v>
      </c>
      <c r="B39">
        <v>1</v>
      </c>
      <c r="C39" t="s">
        <v>87</v>
      </c>
      <c r="D39">
        <v>0.43299999999999994</v>
      </c>
      <c r="E39">
        <v>2.8284271247461927E-3</v>
      </c>
      <c r="F39">
        <v>93.318965517241367</v>
      </c>
      <c r="G39">
        <v>0.60957481136771396</v>
      </c>
      <c r="H39">
        <v>60.3</v>
      </c>
      <c r="I39">
        <v>2.6</v>
      </c>
      <c r="J39">
        <f t="shared" si="0"/>
        <v>4.8999999999999986</v>
      </c>
    </row>
    <row r="40" spans="1:10">
      <c r="A40" t="s">
        <v>65</v>
      </c>
      <c r="B40">
        <v>2</v>
      </c>
      <c r="C40" t="s">
        <v>86</v>
      </c>
      <c r="D40">
        <v>0.63450000000000006</v>
      </c>
      <c r="E40">
        <v>2.0506096654409896E-2</v>
      </c>
      <c r="F40">
        <v>136.74568965517241</v>
      </c>
      <c r="G40">
        <v>4.4194173824159257</v>
      </c>
      <c r="H40">
        <v>57.5</v>
      </c>
      <c r="I40">
        <v>1.2</v>
      </c>
      <c r="J40">
        <f t="shared" si="0"/>
        <v>2.1000000000000014</v>
      </c>
    </row>
    <row r="41" spans="1:10">
      <c r="A41" t="s">
        <v>66</v>
      </c>
      <c r="B41">
        <v>3</v>
      </c>
      <c r="C41" t="s">
        <v>88</v>
      </c>
      <c r="D41">
        <v>0.65300000000000002</v>
      </c>
      <c r="E41">
        <v>2.8284271247461142E-3</v>
      </c>
      <c r="F41">
        <v>140.73275862068965</v>
      </c>
      <c r="G41">
        <v>0.60957481136769698</v>
      </c>
      <c r="H41">
        <v>61.5</v>
      </c>
      <c r="I41">
        <v>3</v>
      </c>
      <c r="J41">
        <f t="shared" si="0"/>
        <v>6.1000000000000014</v>
      </c>
    </row>
    <row r="42" spans="1:10">
      <c r="A42" t="s">
        <v>67</v>
      </c>
      <c r="B42">
        <v>4</v>
      </c>
      <c r="C42" t="s">
        <v>89</v>
      </c>
      <c r="D42">
        <v>0.56400000000000006</v>
      </c>
      <c r="E42">
        <v>4.2426406871192812E-2</v>
      </c>
      <c r="F42">
        <v>121.55172413793105</v>
      </c>
      <c r="G42">
        <v>9.143622170515691</v>
      </c>
      <c r="H42">
        <v>57.8</v>
      </c>
      <c r="I42">
        <v>0.1</v>
      </c>
      <c r="J42">
        <f t="shared" si="0"/>
        <v>2.3999999999999986</v>
      </c>
    </row>
    <row r="43" spans="1:10">
      <c r="A43" t="s">
        <v>68</v>
      </c>
      <c r="B43">
        <v>5</v>
      </c>
      <c r="C43" t="s">
        <v>90</v>
      </c>
      <c r="D43">
        <v>0.3105</v>
      </c>
      <c r="E43">
        <v>1.4849242404917471E-2</v>
      </c>
      <c r="F43">
        <v>66.918103448275858</v>
      </c>
      <c r="G43">
        <v>3.2002677596804894</v>
      </c>
      <c r="H43">
        <v>60</v>
      </c>
      <c r="I43">
        <v>1.4</v>
      </c>
      <c r="J43">
        <f t="shared" si="0"/>
        <v>4.6000000000000014</v>
      </c>
    </row>
    <row r="44" spans="1:10">
      <c r="A44" t="s">
        <v>69</v>
      </c>
      <c r="B44">
        <v>6</v>
      </c>
      <c r="C44" t="s">
        <v>91</v>
      </c>
      <c r="D44">
        <v>0.24699999999999997</v>
      </c>
      <c r="E44">
        <v>8.4852813742385385E-3</v>
      </c>
      <c r="F44">
        <v>53.232758620689644</v>
      </c>
      <c r="G44">
        <v>1.828724434103133</v>
      </c>
      <c r="H44">
        <v>59.1</v>
      </c>
      <c r="I44">
        <v>1.4</v>
      </c>
      <c r="J44">
        <f t="shared" si="0"/>
        <v>3.7000000000000028</v>
      </c>
    </row>
    <row r="45" spans="1:10">
      <c r="A45" t="s">
        <v>70</v>
      </c>
      <c r="B45">
        <v>7</v>
      </c>
      <c r="C45" t="s">
        <v>92</v>
      </c>
      <c r="D45">
        <v>0.28949999999999998</v>
      </c>
      <c r="E45">
        <v>4.4547727214752184E-2</v>
      </c>
      <c r="F45">
        <v>62.392241379310342</v>
      </c>
      <c r="G45">
        <v>9.6008032790414184</v>
      </c>
      <c r="H45">
        <v>61</v>
      </c>
      <c r="I45">
        <v>2.7</v>
      </c>
      <c r="J45">
        <f t="shared" si="0"/>
        <v>5.6000000000000014</v>
      </c>
    </row>
    <row r="46" spans="1:10">
      <c r="A46" t="s">
        <v>71</v>
      </c>
      <c r="B46">
        <v>8</v>
      </c>
      <c r="C46" t="s">
        <v>93</v>
      </c>
      <c r="D46">
        <v>0.35099999999999998</v>
      </c>
      <c r="E46">
        <v>4.3840620433565951E-2</v>
      </c>
      <c r="F46">
        <v>75.646551724137922</v>
      </c>
      <c r="G46">
        <v>9.4484095761995572</v>
      </c>
      <c r="H46">
        <v>57.1</v>
      </c>
      <c r="I46">
        <v>0.3</v>
      </c>
      <c r="J46">
        <f t="shared" si="0"/>
        <v>1.7000000000000028</v>
      </c>
    </row>
    <row r="47" spans="1:10">
      <c r="A47" t="s">
        <v>72</v>
      </c>
      <c r="B47">
        <v>9</v>
      </c>
      <c r="C47" t="s">
        <v>94</v>
      </c>
      <c r="D47">
        <v>0.36849999999999994</v>
      </c>
      <c r="E47">
        <v>9.192388155425087E-3</v>
      </c>
      <c r="F47">
        <v>79.418103448275843</v>
      </c>
      <c r="G47">
        <v>1.9811181369450619</v>
      </c>
      <c r="H47">
        <v>57.2</v>
      </c>
      <c r="I47">
        <v>0.7</v>
      </c>
      <c r="J47">
        <f t="shared" si="0"/>
        <v>1.8000000000000043</v>
      </c>
    </row>
    <row r="48" spans="1:10">
      <c r="A48" t="s">
        <v>73</v>
      </c>
      <c r="B48">
        <v>10</v>
      </c>
      <c r="C48" t="s">
        <v>95</v>
      </c>
      <c r="D48">
        <v>0.64149999999999996</v>
      </c>
      <c r="E48">
        <v>1.0606601717798222E-2</v>
      </c>
      <c r="F48">
        <v>138.25431034482801</v>
      </c>
      <c r="G48">
        <v>2.2859055426289272</v>
      </c>
      <c r="H48">
        <v>58</v>
      </c>
      <c r="I48">
        <v>0.5</v>
      </c>
      <c r="J48">
        <f t="shared" si="0"/>
        <v>2.6000000000000014</v>
      </c>
    </row>
    <row r="49" spans="1:10">
      <c r="A49" t="s">
        <v>74</v>
      </c>
      <c r="B49">
        <v>11</v>
      </c>
      <c r="C49" t="s">
        <v>96</v>
      </c>
      <c r="D49">
        <v>0.61149999999999993</v>
      </c>
      <c r="E49">
        <v>6.2932503525602701E-2</v>
      </c>
      <c r="F49">
        <v>131.78879310344826</v>
      </c>
      <c r="G49">
        <v>13.563039552931617</v>
      </c>
      <c r="H49">
        <v>58.4</v>
      </c>
      <c r="I49">
        <v>1.2</v>
      </c>
      <c r="J49">
        <f t="shared" si="0"/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Kozome</dc:creator>
  <cp:lastModifiedBy>Dan Kozome</cp:lastModifiedBy>
  <dcterms:created xsi:type="dcterms:W3CDTF">2025-02-05T01:43:23Z</dcterms:created>
  <dcterms:modified xsi:type="dcterms:W3CDTF">2025-02-05T06:17:52Z</dcterms:modified>
</cp:coreProperties>
</file>